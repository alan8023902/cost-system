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1925" tabRatio="867" activeTab="10"/>
  </bookViews>
  <sheets>
    <sheet name="计划单" sheetId="1" r:id="rId1"/>
    <sheet name="毛利率计算表" sheetId="2" r:id="rId2"/>
    <sheet name="物资表-设备" sheetId="3" r:id="rId3"/>
    <sheet name="物资表-装材" sheetId="14" r:id="rId4"/>
    <sheet name="物资表-土建" sheetId="13" r:id="rId5"/>
    <sheet name="依据1号文计算分包费用" sheetId="11" state="hidden" r:id="rId6"/>
    <sheet name="基础分包测算成本对比 " sheetId="15" r:id="rId7"/>
    <sheet name="基础混凝土统计表" sheetId="29" state="hidden" r:id="rId8"/>
    <sheet name="组塔分包测算成本对比" sheetId="16" r:id="rId9"/>
    <sheet name="架线分包测算成本对比 " sheetId="17" r:id="rId10"/>
    <sheet name="2.机械使用费用暂列" sheetId="95" r:id="rId11"/>
    <sheet name="3.跨越架费用明细" sheetId="96" r:id="rId12"/>
    <sheet name="4.其他费用明细表" sheetId="97" r:id="rId13"/>
    <sheet name="5.其他框架费用明细" sheetId="98" r:id="rId14"/>
    <sheet name="6.跨越咨询费" sheetId="99" r:id="rId15"/>
    <sheet name="工程检测费" sheetId="100" r:id="rId16"/>
    <sheet name="拆除费" sheetId="101" r:id="rId17"/>
    <sheet name="架空输电线路工程乙供主材价差汇总表" sheetId="25" state="hidden" r:id="rId18"/>
    <sheet name="架空输电线路安装工程汇总概算表" sheetId="18" state="hidden" r:id="rId19"/>
    <sheet name="架空输电线路单位工程预算表" sheetId="19" state="hidden" r:id="rId20"/>
    <sheet name="架空输电线路单位工程预算表（余物清理表三） (2)" sheetId="24" state="hidden" r:id="rId21"/>
    <sheet name="架空输电线路单位工程预算表（余物清理表三）" sheetId="20" state="hidden" r:id="rId22"/>
  </sheets>
  <externalReferences>
    <externalReference r:id="rId23"/>
  </externalReferences>
  <definedNames>
    <definedName name="_xlnm.Print_Area" localSheetId="0">计划单!$A$1:$G$64</definedName>
    <definedName name="_xlnm.Print_Area" localSheetId="6">'基础分包测算成本对比 '!$A$1:$I$37</definedName>
    <definedName name="_xlnm.Print_Titles" localSheetId="6">'基础分包测算成本对比 '!$1:$4</definedName>
    <definedName name="_xlnm.Print_Area" localSheetId="8">组塔分包测算成本对比!$A$1:$I$19</definedName>
    <definedName name="_xlnm.Print_Titles" localSheetId="8">组塔分包测算成本对比!$1:$4</definedName>
    <definedName name="_xlnm.Print_Area" localSheetId="9">'架线分包测算成本对比 '!$A$1:$I$21</definedName>
    <definedName name="_xlnm.Print_Titles" localSheetId="9">'架线分包测算成本对比 '!$1:$4</definedName>
    <definedName name="_xlnm.Print_Titles" localSheetId="18">架空输电线路安装工程汇总概算表!$1:$3</definedName>
    <definedName name="_xlnm.Print_Titles" localSheetId="19">架空输电线路单位工程预算表!$1:$5</definedName>
    <definedName name="_xlnm.Print_Titles" localSheetId="21">'架空输电线路单位工程预算表（余物清理表三）'!$1:$5</definedName>
    <definedName name="_xlnm.Print_Titles" localSheetId="20">'架空输电线路单位工程预算表（余物清理表三） (2)'!$1:$5</definedName>
    <definedName name="_xlnm.Print_Titles" localSheetId="17">架空输电线路工程乙供主材价差汇总表!$1:$4</definedName>
    <definedName name="_xlnm.Print_Area" localSheetId="1">毛利率计算表!$A$1:$D$29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<sst xmlns="http://schemas.openxmlformats.org/spreadsheetml/2006/main" count="4863" uniqueCount="941">
  <si>
    <r>
      <t>*****有限公司</t>
    </r>
    <r>
      <rPr>
        <b/>
        <sz val="24"/>
        <color rgb="FFFF0000"/>
        <rFont val="仿宋_GB2312"/>
        <charset val="134"/>
      </rPr>
      <t>预成本计划单</t>
    </r>
  </si>
  <si>
    <t>NO:</t>
  </si>
  <si>
    <t>实施单位</t>
  </si>
  <si>
    <t>输电分公司</t>
  </si>
  <si>
    <t>合同编号</t>
  </si>
  <si>
    <t>工程项目名称</t>
  </si>
  <si>
    <t>***110kV线路工程</t>
  </si>
  <si>
    <t>工程核算成本控制指标                                     (单位：元)</t>
  </si>
  <si>
    <t>序号</t>
  </si>
  <si>
    <t>费用名称</t>
  </si>
  <si>
    <t>费用计算依据</t>
  </si>
  <si>
    <t>预控费用金额</t>
  </si>
  <si>
    <t>分公司核实金额</t>
  </si>
  <si>
    <t>备注</t>
  </si>
  <si>
    <t>一
物
资
费
用</t>
  </si>
  <si>
    <t>设备费</t>
  </si>
  <si>
    <t>依据预算价或类似工程招标采购价计列</t>
  </si>
  <si>
    <t>详见物资表-设备</t>
  </si>
  <si>
    <t>装材费</t>
  </si>
  <si>
    <t>近期采购材料价格</t>
  </si>
  <si>
    <t>详见物资表-装材</t>
  </si>
  <si>
    <t>消材费</t>
  </si>
  <si>
    <t>依据预算价计列</t>
  </si>
  <si>
    <t>土建配送材料费</t>
  </si>
  <si>
    <r>
      <rPr>
        <sz val="20"/>
        <color rgb="FF000000"/>
        <rFont val="仿宋_GB2312"/>
        <charset val="134"/>
      </rPr>
      <t>*年</t>
    </r>
    <r>
      <rPr>
        <sz val="20"/>
        <color rgb="FF000000"/>
        <rFont val="宋体"/>
        <charset val="134"/>
      </rPr>
      <t>*</t>
    </r>
    <r>
      <rPr>
        <sz val="20"/>
        <color rgb="FF000000"/>
        <rFont val="仿宋_GB2312"/>
        <charset val="134"/>
      </rPr>
      <t>月</t>
    </r>
    <r>
      <rPr>
        <sz val="20"/>
        <color rgb="FF000000"/>
        <rFont val="宋体"/>
        <charset val="134"/>
      </rPr>
      <t>*</t>
    </r>
    <r>
      <rPr>
        <sz val="20"/>
        <color rgb="FF000000"/>
        <rFont val="仿宋_GB2312"/>
        <charset val="134"/>
      </rPr>
      <t>市</t>
    </r>
    <r>
      <rPr>
        <sz val="20"/>
        <color theme="1"/>
        <rFont val="仿宋_GB2312"/>
        <charset val="134"/>
      </rPr>
      <t>信县息价</t>
    </r>
  </si>
  <si>
    <t>详见物资表-土建</t>
  </si>
  <si>
    <t>税率3%配送材料费</t>
  </si>
  <si>
    <t>*年*月*市信县息价</t>
  </si>
  <si>
    <t>税率13%配送材料费</t>
  </si>
  <si>
    <t>小计</t>
  </si>
  <si>
    <t>二
分
包
费
用</t>
  </si>
  <si>
    <t>专业分包费用</t>
  </si>
  <si>
    <t>专业分包</t>
  </si>
  <si>
    <t>详见分包测算成本，最终费用以实际工程量为准</t>
  </si>
  <si>
    <t>组塔劳务分包费用</t>
  </si>
  <si>
    <t>劳务分包</t>
  </si>
  <si>
    <t>架线劳务分包费用</t>
  </si>
  <si>
    <t>土石方分包费用</t>
  </si>
  <si>
    <t>按预算80%，分公司自行组织分包比选，最终工程量需业主签字确认</t>
  </si>
  <si>
    <t>三
项
目
其
他
费
用</t>
  </si>
  <si>
    <t>建设场地征用费用</t>
  </si>
  <si>
    <t>预列</t>
  </si>
  <si>
    <t>按照投标文件80%计列，据实发生</t>
  </si>
  <si>
    <t>青苗费用</t>
  </si>
  <si>
    <t>预列费用，据实发生办理</t>
  </si>
  <si>
    <t>水土保持措施费用</t>
  </si>
  <si>
    <t>临时施工道路</t>
  </si>
  <si>
    <t>10KV单回架空线路迁改</t>
  </si>
  <si>
    <t>24000</t>
  </si>
  <si>
    <t>参考工程量40m，总价包干，结算不予调整</t>
  </si>
  <si>
    <t>迁移补偿</t>
  </si>
  <si>
    <t>跨越房屋补偿费</t>
  </si>
  <si>
    <t>高速公路、铁路、油气管道等协调、咨询等费用</t>
  </si>
  <si>
    <t>框架</t>
  </si>
  <si>
    <t>跨越天然气咨询费，按照投标文件80%预列，据实结算，详见附件6</t>
  </si>
  <si>
    <t>跨越架搭设费用</t>
  </si>
  <si>
    <t>详见跨越费用明细表</t>
  </si>
  <si>
    <t>工程检测费用</t>
  </si>
  <si>
    <t xml:space="preserve">  预列费用据实发生，详见附表</t>
  </si>
  <si>
    <t>咨询费</t>
  </si>
  <si>
    <t xml:space="preserve">  预列费用据实发生</t>
  </si>
  <si>
    <t>机械使用费</t>
  </si>
  <si>
    <t xml:space="preserve">  暂列费用，具体按实际结算</t>
  </si>
  <si>
    <t>其他费</t>
  </si>
  <si>
    <t xml:space="preserve">  参数测试、光缆熔接测试及三点接地等费用</t>
  </si>
  <si>
    <t>光缆熔接</t>
  </si>
  <si>
    <t>详见附件</t>
  </si>
  <si>
    <t>通信光缆测试</t>
  </si>
  <si>
    <t>按照原框架列取费用</t>
  </si>
  <si>
    <t>参数测试（线路试运）</t>
  </si>
  <si>
    <t>由分公司自主实施</t>
  </si>
  <si>
    <t>X光探伤</t>
  </si>
  <si>
    <t>四
项
目
综
合
管
理
费</t>
  </si>
  <si>
    <t>安全文明费用</t>
  </si>
  <si>
    <t>专项费用，总价控制</t>
  </si>
  <si>
    <t>已扣除土建分包部分费用，剩余按投标报价全额计列，交由安监部控制使用</t>
  </si>
  <si>
    <t>临时设施费</t>
  </si>
  <si>
    <t xml:space="preserve">项目部、材料站、班组按照7个月预列 </t>
  </si>
  <si>
    <t>项目部综合管理费</t>
  </si>
  <si>
    <t>人工费8%</t>
  </si>
  <si>
    <t>辅助劳务费</t>
  </si>
  <si>
    <t>人工费3%</t>
  </si>
  <si>
    <t>五
税
金</t>
  </si>
  <si>
    <t>销项税</t>
  </si>
  <si>
    <r>
      <rPr>
        <sz val="20"/>
        <color rgb="FF000000"/>
        <rFont val="仿宋_GB2312"/>
        <charset val="134"/>
      </rPr>
      <t>销项税</t>
    </r>
    <r>
      <rPr>
        <sz val="20"/>
        <color rgb="FF000000"/>
        <rFont val="宋体"/>
        <charset val="134"/>
      </rPr>
      <t>-</t>
    </r>
    <r>
      <rPr>
        <sz val="20"/>
        <color rgb="FF000000"/>
        <rFont val="仿宋_GB2312"/>
        <charset val="134"/>
      </rPr>
      <t>进项税</t>
    </r>
  </si>
  <si>
    <t>签约合同价/1.09*9%</t>
  </si>
  <si>
    <t>进项税</t>
  </si>
  <si>
    <t>()/1.09*0.09+()/1.03*0.03+</t>
  </si>
  <si>
    <t>六
其
他</t>
  </si>
  <si>
    <t>勘察设计费</t>
  </si>
  <si>
    <t>参考合同所列费用</t>
  </si>
  <si>
    <t>监理费</t>
  </si>
  <si>
    <t>其他</t>
  </si>
  <si>
    <t>暂列金额</t>
  </si>
  <si>
    <t>报公司领导审核后使用</t>
  </si>
  <si>
    <t>平地</t>
  </si>
  <si>
    <t>丘陵</t>
  </si>
  <si>
    <t>泥沼</t>
  </si>
  <si>
    <t>山地</t>
  </si>
  <si>
    <t>高山</t>
  </si>
  <si>
    <t>总计</t>
  </si>
  <si>
    <r>
      <rPr>
        <sz val="20"/>
        <color rgb="FF000000"/>
        <rFont val="仿宋_GB2312"/>
        <charset val="134"/>
      </rPr>
      <t>一</t>
    </r>
    <r>
      <rPr>
        <sz val="20"/>
        <color rgb="FF000000"/>
        <rFont val="宋体"/>
        <charset val="134"/>
      </rPr>
      <t>+</t>
    </r>
    <r>
      <rPr>
        <sz val="20"/>
        <color rgb="FF000000"/>
        <rFont val="仿宋_GB2312"/>
        <charset val="134"/>
      </rPr>
      <t>二</t>
    </r>
    <r>
      <rPr>
        <sz val="20"/>
        <color rgb="FF000000"/>
        <rFont val="宋体"/>
        <charset val="134"/>
      </rPr>
      <t>+</t>
    </r>
    <r>
      <rPr>
        <sz val="20"/>
        <color rgb="FF000000"/>
        <rFont val="仿宋_GB2312"/>
        <charset val="134"/>
      </rPr>
      <t>三</t>
    </r>
    <r>
      <rPr>
        <sz val="20"/>
        <color rgb="FF000000"/>
        <rFont val="宋体"/>
        <charset val="134"/>
      </rPr>
      <t>+</t>
    </r>
    <r>
      <rPr>
        <sz val="20"/>
        <color rgb="FF000000"/>
        <rFont val="仿宋_GB2312"/>
        <charset val="134"/>
      </rPr>
      <t>四</t>
    </r>
    <r>
      <rPr>
        <sz val="20"/>
        <color rgb="FF000000"/>
        <rFont val="宋体"/>
        <charset val="134"/>
      </rPr>
      <t>+</t>
    </r>
    <r>
      <rPr>
        <sz val="20"/>
        <color rgb="FF000000"/>
        <rFont val="仿宋_GB2312"/>
        <charset val="134"/>
      </rPr>
      <t>五+六</t>
    </r>
    <r>
      <rPr>
        <sz val="20"/>
        <color rgb="FF000000"/>
        <rFont val="宋体"/>
        <charset val="134"/>
      </rPr>
      <t>+</t>
    </r>
    <r>
      <rPr>
        <sz val="20"/>
        <color rgb="FF000000"/>
        <rFont val="仿宋_GB2312"/>
        <charset val="134"/>
      </rPr>
      <t>七</t>
    </r>
  </si>
  <si>
    <t>经济交底</t>
  </si>
  <si>
    <t>1、设备费、装材费、土建物资费交由工程物资部做成本控制，详见附表；</t>
  </si>
  <si>
    <t>2、分包费用以巨能公司内部定额为依据，具体工作内容详见附表，分包结算时应按照实际工作内容增减</t>
  </si>
  <si>
    <t>3、本工程青苗费按照投标文件80%计列，据实发生。</t>
  </si>
  <si>
    <t>4、35kV线路及以上跨越原则上应为停电施工，本计划单不计列该费用，实际如有需求，请分公司履行一事一议手续。跨越架费用如有框架，按照框架金额预列，框架不包含的按照投标文件80%预列，请分公司据实发生。</t>
  </si>
  <si>
    <t>5、工程检测费应用于将采购物资送至第三方检测，本工程包含绝缘子外观尺寸检测、地脚螺栓拉伸硬度测试、导地线拉断力试验。</t>
  </si>
  <si>
    <t>6、110kV线路试运行原则上由分公司自主实施，本计划单不预列该费用。</t>
  </si>
  <si>
    <t>签署页</t>
  </si>
  <si>
    <t xml:space="preserve">   技经审计部
   （盖章）</t>
  </si>
  <si>
    <t xml:space="preserve">  编制：                 负责人：               日期：</t>
  </si>
  <si>
    <t xml:space="preserve">   分公司
   （盖章）</t>
  </si>
  <si>
    <t xml:space="preserve">  经办人：               负责人：                 日期：</t>
  </si>
  <si>
    <t xml:space="preserve">      生产分管领导：</t>
  </si>
  <si>
    <t xml:space="preserve">  公司领导：</t>
  </si>
  <si>
    <t>总经理：</t>
  </si>
  <si>
    <t>抄送：董事长、总经理、分管领导，分发财务经营部、工程物资部、安全监察部（内部资料：注意保密和保管。）</t>
  </si>
  <si>
    <t>时间：</t>
  </si>
  <si>
    <t>金额单位：元</t>
  </si>
  <si>
    <t>计划成本分析及计算办法</t>
  </si>
  <si>
    <t>项目费用名称</t>
  </si>
  <si>
    <t>金额</t>
  </si>
  <si>
    <t>（一）</t>
  </si>
  <si>
    <t>签约合同价</t>
  </si>
  <si>
    <t>合同价</t>
  </si>
  <si>
    <t>其中：勘察设计费</t>
  </si>
  <si>
    <r>
      <rPr>
        <sz val="10"/>
        <color theme="1"/>
        <rFont val="仿宋_GB2312"/>
        <charset val="134"/>
      </rPr>
      <t>含税，</t>
    </r>
    <r>
      <rPr>
        <sz val="10"/>
        <color theme="1"/>
        <rFont val="宋体"/>
        <charset val="134"/>
      </rPr>
      <t>6%</t>
    </r>
  </si>
  <si>
    <t>其中：监理费</t>
  </si>
  <si>
    <t>其中：其他</t>
  </si>
  <si>
    <t>其中：基本预备费</t>
  </si>
  <si>
    <t>甲供材料</t>
  </si>
  <si>
    <t>其中：暂估价</t>
  </si>
  <si>
    <t>结算时需据实际签证，仅限基建工程</t>
  </si>
  <si>
    <t>（二）</t>
  </si>
  <si>
    <t>施工费用</t>
  </si>
  <si>
    <t>第二版预算施工费（含设备、物资）</t>
  </si>
  <si>
    <t>（三）</t>
  </si>
  <si>
    <r>
      <rPr>
        <b/>
        <sz val="10"/>
        <color theme="1"/>
        <rFont val="仿宋_GB2312"/>
        <charset val="134"/>
      </rPr>
      <t>成本合计</t>
    </r>
    <r>
      <rPr>
        <b/>
        <sz val="10"/>
        <color theme="1"/>
        <rFont val="宋体"/>
        <charset val="134"/>
      </rPr>
      <t>1</t>
    </r>
  </si>
  <si>
    <r>
      <rPr>
        <sz val="10"/>
        <color theme="1"/>
        <rFont val="仿宋_GB2312"/>
        <charset val="134"/>
      </rPr>
      <t>∑</t>
    </r>
    <r>
      <rPr>
        <sz val="10"/>
        <color theme="1"/>
        <rFont val="宋体"/>
        <charset val="134"/>
      </rPr>
      <t>3.1~3.5</t>
    </r>
  </si>
  <si>
    <t>分包成本</t>
  </si>
  <si>
    <t>控制价或中标价</t>
  </si>
  <si>
    <r>
      <rPr>
        <sz val="10"/>
        <color theme="1"/>
        <rFont val="仿宋_GB2312"/>
        <charset val="134"/>
      </rPr>
      <t>含税，</t>
    </r>
    <r>
      <rPr>
        <sz val="10"/>
        <color theme="1"/>
        <rFont val="宋体"/>
        <charset val="134"/>
      </rPr>
      <t>9%,</t>
    </r>
  </si>
  <si>
    <t>物资成本</t>
  </si>
  <si>
    <t>本部采购物资</t>
  </si>
  <si>
    <r>
      <rPr>
        <sz val="10"/>
        <color theme="1"/>
        <rFont val="仿宋_GB2312"/>
        <charset val="134"/>
      </rPr>
      <t>含税</t>
    </r>
    <r>
      <rPr>
        <sz val="10"/>
        <color theme="1"/>
        <rFont val="宋体"/>
        <charset val="134"/>
      </rPr>
      <t>13%</t>
    </r>
  </si>
  <si>
    <t>地方性配送物资</t>
  </si>
  <si>
    <r>
      <rPr>
        <sz val="10"/>
        <color theme="1"/>
        <rFont val="仿宋_GB2312"/>
        <charset val="134"/>
      </rPr>
      <t>含税，钢筋</t>
    </r>
    <r>
      <rPr>
        <sz val="10"/>
        <color theme="1"/>
        <rFont val="宋体"/>
        <charset val="134"/>
      </rPr>
      <t>13%</t>
    </r>
    <r>
      <rPr>
        <sz val="10"/>
        <color theme="1"/>
        <rFont val="仿宋_GB2312"/>
        <charset val="134"/>
      </rPr>
      <t>、水泥</t>
    </r>
    <r>
      <rPr>
        <sz val="10"/>
        <color theme="1"/>
        <rFont val="宋体"/>
        <charset val="134"/>
      </rPr>
      <t>13%</t>
    </r>
    <r>
      <rPr>
        <sz val="10"/>
        <color theme="1"/>
        <rFont val="仿宋_GB2312"/>
        <charset val="134"/>
      </rPr>
      <t>、商砼</t>
    </r>
    <r>
      <rPr>
        <sz val="10"/>
        <color theme="1"/>
        <rFont val="宋体"/>
        <charset val="134"/>
      </rPr>
      <t>3%</t>
    </r>
  </si>
  <si>
    <r>
      <rPr>
        <sz val="10"/>
        <color theme="1"/>
        <rFont val="仿宋_GB2312"/>
        <charset val="134"/>
      </rPr>
      <t>项目综合管理</t>
    </r>
    <r>
      <rPr>
        <sz val="10"/>
        <color theme="1"/>
        <rFont val="仿宋_GB2312"/>
        <charset val="134"/>
      </rPr>
      <t>成本</t>
    </r>
  </si>
  <si>
    <t>项目部管理成本</t>
  </si>
  <si>
    <t>项目其他费用</t>
  </si>
  <si>
    <t>税负成本</t>
  </si>
  <si>
    <r>
      <rPr>
        <sz val="10"/>
        <color theme="1"/>
        <rFont val="仿宋_GB2312"/>
        <charset val="134"/>
      </rPr>
      <t>销项税</t>
    </r>
    <r>
      <rPr>
        <sz val="10"/>
        <color theme="1"/>
        <rFont val="宋体"/>
        <charset val="134"/>
      </rPr>
      <t>-</t>
    </r>
    <r>
      <rPr>
        <sz val="10"/>
        <color theme="1"/>
        <rFont val="仿宋_GB2312"/>
        <charset val="134"/>
      </rPr>
      <t>进项税</t>
    </r>
  </si>
  <si>
    <r>
      <rPr>
        <sz val="10"/>
        <color theme="1"/>
        <rFont val="仿宋_GB2312"/>
        <charset val="134"/>
      </rPr>
      <t>签约合同价</t>
    </r>
    <r>
      <rPr>
        <sz val="10"/>
        <color theme="1"/>
        <rFont val="宋体"/>
        <charset val="134"/>
      </rPr>
      <t>/1.09*0.09</t>
    </r>
  </si>
  <si>
    <t>（四）</t>
  </si>
  <si>
    <r>
      <rPr>
        <b/>
        <sz val="10"/>
        <color theme="1"/>
        <rFont val="仿宋_GB2312"/>
        <charset val="134"/>
      </rPr>
      <t>毛利润</t>
    </r>
    <r>
      <rPr>
        <b/>
        <sz val="10"/>
        <color theme="1"/>
        <rFont val="宋体"/>
        <charset val="134"/>
      </rPr>
      <t>1</t>
    </r>
  </si>
  <si>
    <r>
      <rPr>
        <sz val="10"/>
        <color theme="1"/>
        <rFont val="仿宋_GB2312"/>
        <charset val="134"/>
      </rPr>
      <t>（二）</t>
    </r>
    <r>
      <rPr>
        <sz val="10"/>
        <color theme="1"/>
        <rFont val="宋体"/>
        <charset val="134"/>
      </rPr>
      <t>-</t>
    </r>
    <r>
      <rPr>
        <sz val="10"/>
        <color theme="1"/>
        <rFont val="仿宋_GB2312"/>
        <charset val="134"/>
      </rPr>
      <t>（三）合同价扣除分包、物资、项目部、税负等项目本身成本后的金额</t>
    </r>
  </si>
  <si>
    <t>（五）</t>
  </si>
  <si>
    <r>
      <rPr>
        <b/>
        <sz val="10"/>
        <color theme="1"/>
        <rFont val="仿宋_GB2312"/>
        <charset val="134"/>
      </rPr>
      <t>毛利润率</t>
    </r>
    <r>
      <rPr>
        <b/>
        <sz val="10"/>
        <color theme="1"/>
        <rFont val="宋体"/>
        <charset val="134"/>
      </rPr>
      <t>1</t>
    </r>
  </si>
  <si>
    <r>
      <rPr>
        <sz val="10"/>
        <color theme="1"/>
        <rFont val="仿宋_GB2312"/>
        <charset val="134"/>
      </rPr>
      <t>（四）</t>
    </r>
    <r>
      <rPr>
        <sz val="10"/>
        <color theme="1"/>
        <rFont val="宋体"/>
        <charset val="134"/>
      </rPr>
      <t>/</t>
    </r>
    <r>
      <rPr>
        <sz val="10"/>
        <color theme="1"/>
        <rFont val="仿宋_GB2312"/>
        <charset val="134"/>
      </rPr>
      <t>（二）</t>
    </r>
  </si>
  <si>
    <t>（六）</t>
  </si>
  <si>
    <t>分公司、工程物资组： </t>
  </si>
  <si>
    <t>单位：元</t>
  </si>
  <si>
    <t>主材、设备、消材、土建配送材料</t>
  </si>
  <si>
    <t>预算（经营部填写）</t>
  </si>
  <si>
    <t>经营控制价（经营部下达）</t>
  </si>
  <si>
    <t>物资名称</t>
  </si>
  <si>
    <t>型号</t>
  </si>
  <si>
    <t>单位</t>
  </si>
  <si>
    <t>数量</t>
  </si>
  <si>
    <t>含税单价</t>
  </si>
  <si>
    <t>含税合价</t>
  </si>
  <si>
    <t>预算价下浮10%</t>
  </si>
  <si>
    <t>合计</t>
  </si>
  <si>
    <t>1.此表原则上依据单项成本管理办法计列物资总限价。</t>
  </si>
  <si>
    <t>2.分公司应根据经营的成本控制价开展物资招标。</t>
  </si>
  <si>
    <t>3.最高限价可分类控制，也可单项控制，原则上总费用不高于经营下达的总控制价。</t>
  </si>
  <si>
    <t xml:space="preserve">公司生产分管领导：                      公司经营分管领导：            </t>
  </si>
  <si>
    <t>经营部主任：                              经营部技经专职：</t>
  </si>
  <si>
    <t>分公司： </t>
  </si>
  <si>
    <t>镀锌圆钢</t>
  </si>
  <si>
    <t/>
  </si>
  <si>
    <t>t</t>
  </si>
  <si>
    <t>信息价下浮5%</t>
  </si>
  <si>
    <t>接地角钢</t>
  </si>
  <si>
    <t>∠45X45X5</t>
  </si>
  <si>
    <t>投标价下浮5%</t>
  </si>
  <si>
    <t>地脚螺栓</t>
  </si>
  <si>
    <t>近期采购价</t>
  </si>
  <si>
    <t>色标牌</t>
  </si>
  <si>
    <t>块</t>
  </si>
  <si>
    <t>杆号牌</t>
  </si>
  <si>
    <t>镀锌型钢</t>
  </si>
  <si>
    <t>综合</t>
  </si>
  <si>
    <t>1.此表原则上依据单项成本管理办法计列物资总限价。
2.分公司应根据经营的成本控制价开展物资招标。
3.最高限价可分类控制，也可单项控制，原则上总费用不高于经营下达的总控制价。
4.上述用量已含损耗。</t>
  </si>
  <si>
    <t xml:space="preserve"> 技经审计部专职：                                     技经审计部负责人：
 工程物资部专职：                                     工程物资部负责人：</t>
  </si>
  <si>
    <t>分公司、工程物资组：</t>
  </si>
  <si>
    <t>普通硅酸盐水泥</t>
  </si>
  <si>
    <t>商品混凝土</t>
  </si>
  <si>
    <t>C25</t>
  </si>
  <si>
    <t>m³</t>
  </si>
  <si>
    <t>C30灌</t>
  </si>
  <si>
    <t>1.此表原则上依据单项成本管理办法计列物资总限价。
2.分公司应根据经营的成本控制价开展物资招标。
3.最高限价可分类控制，也可单项控制，原则上总费用不高于经营下达的总控制价。
4.上述用量按照投标文件预列，已考虑损耗，据实发生，据实结算。</t>
  </si>
  <si>
    <t>杆塔</t>
  </si>
  <si>
    <t>架线</t>
  </si>
  <si>
    <t>土方费用</t>
  </si>
  <si>
    <t>计算方式：直接费-土建配送材料费-安全文明施工费50%+价差+税金</t>
  </si>
  <si>
    <t>计算方式：直接费-装材费-安全文明施工费50%+价差+税金</t>
  </si>
  <si>
    <t>金额（元）</t>
  </si>
  <si>
    <t>尖峰</t>
  </si>
  <si>
    <t>直接费</t>
  </si>
  <si>
    <t>安装工程直接费</t>
  </si>
  <si>
    <t>拆除工程直接费</t>
  </si>
  <si>
    <t>安全文明施工费</t>
  </si>
  <si>
    <t>价差</t>
  </si>
  <si>
    <t>安装工程安全文明施工费50%</t>
  </si>
  <si>
    <t>税金</t>
  </si>
  <si>
    <t>拆除工程安全文明施工费50%</t>
  </si>
  <si>
    <t>分包费</t>
  </si>
  <si>
    <t>安装价差</t>
  </si>
  <si>
    <t>拆除价差</t>
  </si>
  <si>
    <t>安装工程税金</t>
  </si>
  <si>
    <t>拆除工程税金</t>
  </si>
  <si>
    <t>分包费合计</t>
  </si>
  <si>
    <t>-------</t>
  </si>
  <si>
    <t>基础及接地部分--专业分包计件清单报价表</t>
  </si>
  <si>
    <t>附件三 基础及接地部分</t>
  </si>
  <si>
    <t>项目名称</t>
  </si>
  <si>
    <t>项目特征及工作内容</t>
  </si>
  <si>
    <t>计量单位</t>
  </si>
  <si>
    <t>工程量</t>
  </si>
  <si>
    <t>综合单价</t>
  </si>
  <si>
    <t>合价</t>
  </si>
  <si>
    <t>基础工程</t>
  </si>
  <si>
    <t>分项</t>
  </si>
  <si>
    <t>工作内容</t>
  </si>
  <si>
    <t>大开挖</t>
  </si>
  <si>
    <t xml:space="preserve">  复测及分坑、材料运输、现场检验、基础基坑土石方开挖、基面场平回填夯实、余土外运、基础钢筋制作安装、地脚螺栓安装保护、模板安装及拆除、垫层及基础浇捣，试块制作，养护．保护帽浇捣、施工机械装拆与场外运输、接地开挖敷设接地电阻测试，施工机械装拆与场外运输、清理现场、工器具移运等。</t>
  </si>
  <si>
    <t xml:space="preserve">  不区分保护帽、阶梯基础、大板基础、挖孔桩基础、灌注桩基础等形式。控制单价按商砼和现场搅拌已综合考虑，包含商砼泵送、现浇方式材料运输费用，综合考虑施工便道修筑费，不因改变施工方式调整单价。不因青苗阻工等窝工办理签证，围堰费用已包含所需草袋土，由分包单位承担，钢筋、水泥、砼试块等检测费用已包含其中，分包单位需提供相应报告</t>
  </si>
  <si>
    <t>人工掏挖</t>
  </si>
  <si>
    <t>人工掏挖(岩石)</t>
  </si>
  <si>
    <t>灌注桩基础</t>
  </si>
  <si>
    <t>机械化道路施工+20万</t>
  </si>
  <si>
    <t>旋挖桩基础</t>
  </si>
  <si>
    <t>进出场费用</t>
  </si>
  <si>
    <t>次</t>
  </si>
  <si>
    <t>垫层</t>
  </si>
  <si>
    <t>护壁/保护帽</t>
  </si>
  <si>
    <t>草袋土围堰</t>
  </si>
  <si>
    <t>钢筋制作</t>
  </si>
  <si>
    <t>基础部分钢筋制作（准备，截割，焊接，制弯，整理，捆扎，清理现场）</t>
  </si>
  <si>
    <t>场地平基</t>
  </si>
  <si>
    <t>尖峰、基面、排洪（水）沟、护坡、挡土（水）墙、永久围堰、防撞墩（墙）土石方开挖，平基土方</t>
  </si>
  <si>
    <t>护坡、挡土墙
及排洪沟</t>
  </si>
  <si>
    <t>材料移运，选料、砂浆配拌、挖方、砌筑、上浆、勾缝、模板安装及拆除、钢筋安装、混凝土搅拌及浇制、捣固、养护、排水、清理现场、工器具移运等。</t>
  </si>
  <si>
    <t>接地安装费用</t>
  </si>
  <si>
    <t>基础接地安装费用，安照10元/米暂列</t>
  </si>
  <si>
    <t>m</t>
  </si>
  <si>
    <t>措施费</t>
  </si>
  <si>
    <t>项</t>
  </si>
  <si>
    <r>
      <rPr>
        <sz val="9"/>
        <rFont val="宋体"/>
        <charset val="134"/>
      </rPr>
      <t>措施项目费中的安全文明施工费应按照国家或省级、行业建设主管部门规定的费率计算，计算基数随建筑安装工程施工费的调整据实计列。施工过程中国家或省级、行业建设主管部门对安全文明施工费进行调整的，措施项目费中安全文明施工费应作相应调整。项目提取的安全文明施工费立足满足工程现场安全防护和环境改善需要，优先用于保证工程建设过程达到安全生产标准化要求所需的支出。安全文明施工费用由承包人提出申请，经安监部审核，公司领导批准后，规范、足额使用，专款专用。</t>
    </r>
    <r>
      <rPr>
        <b/>
        <sz val="9"/>
        <rFont val="宋体"/>
        <charset val="134"/>
      </rPr>
      <t>工程完工后，若安全文明施工费未按要求投入，发包人有权扣回</t>
    </r>
  </si>
  <si>
    <t>施工临时道路修筑及拓宽</t>
  </si>
  <si>
    <t>机械化道路修筑</t>
  </si>
  <si>
    <t>含路床整形及每米降方、水田及塔基操作面铺设钢板路基箱</t>
  </si>
  <si>
    <t xml:space="preserve">水土保持措施费用  </t>
  </si>
  <si>
    <t>表土剥离</t>
  </si>
  <si>
    <t>表土回填</t>
  </si>
  <si>
    <t>土地整治</t>
  </si>
  <si>
    <t>hm²</t>
  </si>
  <si>
    <t>播撒草籽（含草籽费）</t>
  </si>
  <si>
    <t>造林种草（含草籽、苗木费）</t>
  </si>
  <si>
    <t>报价合计</t>
  </si>
  <si>
    <t>/</t>
  </si>
  <si>
    <t>材料供应划分：砂、石、水及耗材均由分包商自行采购，地脚螺丝、接地镀锌铁件、钢筋、水泥、商砼为甲供物资，甲供商砼由甲方负责泵送运输。</t>
  </si>
  <si>
    <t>注意事项</t>
  </si>
  <si>
    <r>
      <rPr>
        <sz val="11"/>
        <rFont val="Arial"/>
        <charset val="134"/>
      </rPr>
      <t>1</t>
    </r>
    <r>
      <rPr>
        <sz val="11"/>
        <rFont val="宋体"/>
        <charset val="134"/>
      </rPr>
      <t>、本工程人力平均运距、汽车平均运距、施工便道、余土外运应折算进单价，</t>
    </r>
    <r>
      <rPr>
        <b/>
        <u/>
        <sz val="11"/>
        <color rgb="FFFF0000"/>
        <rFont val="宋体"/>
        <charset val="134"/>
      </rPr>
      <t>请现场踏勘研判折算进综合单价，不因图纸描述与实际不一致而调整结算单价；</t>
    </r>
  </si>
  <si>
    <r>
      <rPr>
        <sz val="11"/>
        <rFont val="Arial"/>
        <charset val="134"/>
      </rPr>
      <t>2</t>
    </r>
    <r>
      <rPr>
        <sz val="11"/>
        <rFont val="宋体"/>
        <charset val="134"/>
      </rPr>
      <t>、本工程地形、地质、地貌等工程图纸的描述仅供参考，</t>
    </r>
    <r>
      <rPr>
        <b/>
        <u/>
        <sz val="11"/>
        <color rgb="FFFF0000"/>
        <rFont val="宋体"/>
        <charset val="134"/>
      </rPr>
      <t>请现场踏勘研判折算进综合单价，不因图纸与实际不一致而调整结算单价；</t>
    </r>
  </si>
  <si>
    <r>
      <rPr>
        <sz val="11"/>
        <rFont val="Calibri"/>
        <charset val="134"/>
      </rPr>
      <t>3</t>
    </r>
    <r>
      <rPr>
        <sz val="11"/>
        <rFont val="宋体"/>
        <charset val="134"/>
      </rPr>
      <t>、投标人中标后，其综合单价（为完成工程量综合清单中一个规定计量单位项目所需的人工费、材料费、机械使用费、安全文明环保措施费、规费、管理费和利润、税金等，并考虑风险因素）属合同的组成部分，在合同执行期间不论发生任何情况或由于任何原因，工程结算时综合单价不再做任何调整；</t>
    </r>
  </si>
  <si>
    <r>
      <rPr>
        <sz val="11"/>
        <rFont val="Calibri"/>
        <charset val="134"/>
      </rPr>
      <t>4</t>
    </r>
    <r>
      <rPr>
        <sz val="11"/>
        <rFont val="宋体"/>
        <charset val="134"/>
      </rPr>
      <t>、综合单价分包部分工程结算时按报价所列综合单价乘以实际完成的工程量（竣工图设计工程量）计算。合价仅为支付款项提供依据，不做为工程结算的依据；</t>
    </r>
  </si>
  <si>
    <r>
      <rPr>
        <sz val="11"/>
        <rFont val="宋体"/>
        <charset val="134"/>
      </rPr>
      <t>5、清单内容包含完成本项工作的全过程内容，包含但不仅限于文件内容。控制价编制参照</t>
    </r>
    <r>
      <rPr>
        <b/>
        <sz val="11"/>
        <color rgb="FFFF0000"/>
        <rFont val="宋体"/>
        <charset val="134"/>
      </rPr>
      <t>《电力建设工程预算定额》（</t>
    </r>
    <r>
      <rPr>
        <b/>
        <sz val="11"/>
        <color rgb="FFFF0000"/>
        <rFont val="Calibri"/>
        <charset val="134"/>
      </rPr>
      <t>2018</t>
    </r>
    <r>
      <rPr>
        <b/>
        <sz val="11"/>
        <color rgb="FFFF0000"/>
        <rFont val="宋体"/>
        <charset val="134"/>
      </rPr>
      <t>版）、《电网工程建设预算编制与计算规定》（</t>
    </r>
    <r>
      <rPr>
        <b/>
        <sz val="11"/>
        <color rgb="FFFF0000"/>
        <rFont val="Calibri"/>
        <charset val="134"/>
      </rPr>
      <t>2018</t>
    </r>
    <r>
      <rPr>
        <b/>
        <sz val="11"/>
        <color rgb="FFFF0000"/>
        <rFont val="宋体"/>
        <charset val="134"/>
      </rPr>
      <t>年版）、</t>
    </r>
    <r>
      <rPr>
        <sz val="11"/>
        <rFont val="宋体"/>
        <charset val="134"/>
      </rPr>
      <t>公司相关取费文件计算。</t>
    </r>
    <r>
      <rPr>
        <b/>
        <u/>
        <sz val="11"/>
        <color rgb="FFFF0000"/>
        <rFont val="宋体"/>
        <charset val="134"/>
      </rPr>
      <t>严禁涂改清单！</t>
    </r>
  </si>
  <si>
    <t>6、综合单价和合价采用一般计税法，税率9%。</t>
  </si>
  <si>
    <t>报价总计（人民币大写）：</t>
  </si>
  <si>
    <t xml:space="preserve">                                     </t>
  </si>
  <si>
    <r>
      <rPr>
        <sz val="11"/>
        <rFont val="宋体"/>
        <charset val="134"/>
      </rPr>
      <t>分包商：</t>
    </r>
    <r>
      <rPr>
        <u/>
        <sz val="11"/>
        <rFont val="Calibri"/>
        <charset val="134"/>
      </rPr>
      <t xml:space="preserve">                                                                                                            </t>
    </r>
    <r>
      <rPr>
        <sz val="11"/>
        <rFont val="宋体"/>
        <charset val="134"/>
      </rPr>
      <t>（全称、盖章）</t>
    </r>
  </si>
  <si>
    <r>
      <rPr>
        <sz val="11"/>
        <rFont val="宋体"/>
        <charset val="134"/>
      </rPr>
      <t>法定代表人或委托代理人：</t>
    </r>
    <r>
      <rPr>
        <u/>
        <sz val="11"/>
        <rFont val="Calibri"/>
        <charset val="134"/>
      </rPr>
      <t xml:space="preserve">                                                    </t>
    </r>
    <r>
      <rPr>
        <sz val="11"/>
        <rFont val="宋体"/>
        <charset val="134"/>
      </rPr>
      <t>（签字）</t>
    </r>
  </si>
  <si>
    <t>日期：</t>
  </si>
  <si>
    <t>混凝土设计量</t>
  </si>
  <si>
    <t>混凝土标号</t>
  </si>
  <si>
    <t>掏挖</t>
  </si>
  <si>
    <t>清单量小计</t>
  </si>
  <si>
    <t>使用量（含超灌量）小计</t>
  </si>
  <si>
    <t>商砼+水泥配送物资小计</t>
  </si>
  <si>
    <t>钢筋配送物资</t>
  </si>
  <si>
    <t>设计量</t>
  </si>
  <si>
    <t>浇筑方式</t>
  </si>
  <si>
    <t>现浇</t>
  </si>
  <si>
    <t>商砼</t>
  </si>
  <si>
    <t>配送42.5水泥</t>
  </si>
  <si>
    <t>基础钢筋（t）</t>
  </si>
  <si>
    <t>保护帽</t>
  </si>
  <si>
    <t>C15</t>
  </si>
  <si>
    <t>接地钢筋（t）</t>
  </si>
  <si>
    <t>基础垫层</t>
  </si>
  <si>
    <t>配送钢筋（t）</t>
  </si>
  <si>
    <t>现浇基础</t>
  </si>
  <si>
    <t>挖孔基础</t>
  </si>
  <si>
    <t>挖孔基础护壁</t>
  </si>
  <si>
    <t>C30</t>
  </si>
  <si>
    <t>柔性基础</t>
  </si>
  <si>
    <t>平地、现场浇筑时、水泥钢筋甲供的控制单价测算表</t>
  </si>
  <si>
    <t>混凝标号</t>
  </si>
  <si>
    <t>使用量 （含超灌量）</t>
  </si>
  <si>
    <t>现浇水泥砂石水配合比</t>
  </si>
  <si>
    <t>单价（分包自购材料，不含材料税3%）</t>
  </si>
  <si>
    <t>合价小计（分包自购材料）</t>
  </si>
  <si>
    <t>合计     （加入9%税）</t>
  </si>
  <si>
    <t>425水泥</t>
  </si>
  <si>
    <t>砂</t>
  </si>
  <si>
    <t>石</t>
  </si>
  <si>
    <t>水</t>
  </si>
  <si>
    <t>平地全商砼钢筋甲供-浇筑控制基准</t>
  </si>
  <si>
    <t>控制基准单价（元/m3）</t>
  </si>
  <si>
    <t>清单量              总计（m3）</t>
  </si>
  <si>
    <t>控制基准 总价</t>
  </si>
  <si>
    <t>加入自购材料后总价</t>
  </si>
  <si>
    <t>平地、现场浇筑时、水泥钢筋甲供的控制综合单价测算表</t>
  </si>
  <si>
    <t>地形调整指数测算表</t>
  </si>
  <si>
    <t>地形</t>
  </si>
  <si>
    <t>峻岭</t>
  </si>
  <si>
    <t>河网</t>
  </si>
  <si>
    <t>沙漠</t>
  </si>
  <si>
    <t>合计调整系数</t>
  </si>
  <si>
    <r>
      <rPr>
        <b/>
        <sz val="8"/>
        <color rgb="FFFF0000"/>
        <rFont val="宋体"/>
        <charset val="134"/>
      </rPr>
      <t>现场搅拌</t>
    </r>
    <r>
      <rPr>
        <b/>
        <sz val="8"/>
        <color rgb="FF000000"/>
        <rFont val="宋体"/>
        <charset val="134"/>
      </rPr>
      <t>--水泥钢筋甲供调整基础分包--地形调整单价</t>
    </r>
  </si>
  <si>
    <r>
      <rPr>
        <b/>
        <sz val="8"/>
        <color rgb="FFFF0000"/>
        <rFont val="宋体"/>
        <charset val="134"/>
      </rPr>
      <t>商砼方式</t>
    </r>
    <r>
      <rPr>
        <b/>
        <sz val="8"/>
        <color rgb="FF000000"/>
        <rFont val="宋体"/>
        <charset val="134"/>
      </rPr>
      <t>-商砼钢筋甲供基础分包--地形调整单价</t>
    </r>
  </si>
  <si>
    <t>定额指数</t>
  </si>
  <si>
    <t>实际地形比例</t>
  </si>
  <si>
    <t>实际调指数数</t>
  </si>
  <si>
    <r>
      <rPr>
        <sz val="10"/>
        <rFont val="Times New Roman"/>
        <charset val="134"/>
      </rPr>
      <t xml:space="preserve">    </t>
    </r>
    <r>
      <rPr>
        <sz val="10"/>
        <rFont val="宋体"/>
        <charset val="134"/>
      </rPr>
      <t>地质</t>
    </r>
    <r>
      <rPr>
        <sz val="10"/>
        <rFont val="Times New Roman"/>
        <charset val="134"/>
      </rPr>
      <t xml:space="preserve">      </t>
    </r>
    <r>
      <rPr>
        <sz val="10"/>
        <rFont val="宋体"/>
        <charset val="134"/>
      </rPr>
      <t>地形</t>
    </r>
  </si>
  <si>
    <t>工程地形比例</t>
  </si>
  <si>
    <t>单项分摊指标</t>
  </si>
  <si>
    <t>工程实际指标</t>
  </si>
  <si>
    <t>普土</t>
  </si>
  <si>
    <t>坚土</t>
  </si>
  <si>
    <t>松砂石</t>
  </si>
  <si>
    <t>岩石</t>
  </si>
  <si>
    <t>泥水</t>
  </si>
  <si>
    <t>工程地质定额价值标</t>
  </si>
  <si>
    <t>流沙</t>
  </si>
  <si>
    <t>--组塔部分--劳务分包计件清单报价表</t>
  </si>
  <si>
    <t>附件七-2  组塔部分</t>
  </si>
  <si>
    <t>不同工作劳务计件单价与合价</t>
  </si>
  <si>
    <t>计件单位</t>
  </si>
  <si>
    <t>计件量</t>
  </si>
  <si>
    <t>计件单价</t>
  </si>
  <si>
    <t>一</t>
  </si>
  <si>
    <t>组塔工程</t>
  </si>
  <si>
    <t>角钢塔
组立</t>
  </si>
  <si>
    <t xml:space="preserve">  施工准备、材料运输、钢杆铁塔组合、吊装、地脚螺栓紧固及保护帽浇制、防盗防松螺栓紧固、零星补刷油漆、三牌防鸟盒安装(含更换部分)、施工机械装拆与场外运输、工器具移运、场地清理等。</t>
  </si>
  <si>
    <t xml:space="preserve">  抱杆组塔方式，改变组塔工艺而需要的吊车等器具设备进出场、便道不予签证。杆号牌安装包含因迁改引起需要更换的部分。</t>
  </si>
  <si>
    <t>钢电杆</t>
  </si>
  <si>
    <t>基</t>
  </si>
  <si>
    <t>材料供应划分：材料甲供。</t>
  </si>
  <si>
    <r>
      <rPr>
        <sz val="9"/>
        <rFont val="宋体"/>
        <charset val="134"/>
      </rPr>
      <t>1、本工程人力平均运距、汽车平均运距，</t>
    </r>
    <r>
      <rPr>
        <b/>
        <u/>
        <sz val="9"/>
        <color rgb="FFFF0000"/>
        <rFont val="宋体"/>
        <charset val="134"/>
      </rPr>
      <t>请现场踏勘研判折算进计件单价，不因图纸与实际不一致而调整结算单价；</t>
    </r>
  </si>
  <si>
    <r>
      <rPr>
        <sz val="9"/>
        <rFont val="宋体"/>
        <charset val="134"/>
      </rPr>
      <t>2、本工程地形、地质、地貌等工程图纸的描述仅供参考，</t>
    </r>
    <r>
      <rPr>
        <b/>
        <u/>
        <sz val="9"/>
        <color rgb="FFFF0000"/>
        <rFont val="宋体"/>
        <charset val="134"/>
      </rPr>
      <t>请现场踏勘研判折算进计件单价，不因图纸与实际不一致而调整结算单价；</t>
    </r>
  </si>
  <si>
    <r>
      <rPr>
        <sz val="9"/>
        <rFont val="宋体"/>
        <charset val="134"/>
      </rPr>
      <t>3、计件单价是劳务分包人为完成劳务分包计件清单中一个规定计量单位项目所需的技工和普工的投入，仅包含人工费和税金等，在合同执行期间不论发生任何情况（特别说明除外），结算时计件单价不再做任何调整；</t>
    </r>
    <r>
      <rPr>
        <b/>
        <sz val="9"/>
        <rFont val="宋体"/>
        <charset val="134"/>
      </rPr>
      <t>特别说明：因劳务分包人原因引起承包人对外结算被核减结算费用，劳务分包结算时相关劳务作业项目视情况可同比例核减。</t>
    </r>
  </si>
  <si>
    <t>4、合价仅为付款提供依据，不做为劳务结算依据。计件劳务分包作业项目结算时按单价乘以实际完成的计件量（以竣工图设计、验收计件量为准）计算，以审定结算为准。</t>
  </si>
  <si>
    <r>
      <rPr>
        <sz val="9"/>
        <rFont val="宋体"/>
        <charset val="134"/>
      </rPr>
      <t>5、单价和合价采用一般计税法，税率</t>
    </r>
    <r>
      <rPr>
        <sz val="9"/>
        <rFont val="Calibri"/>
        <charset val="134"/>
      </rPr>
      <t>3%</t>
    </r>
    <r>
      <rPr>
        <sz val="9"/>
        <rFont val="宋体"/>
        <charset val="134"/>
      </rPr>
      <t>。</t>
    </r>
  </si>
  <si>
    <t xml:space="preserve">                                        </t>
  </si>
  <si>
    <t>--架线部分--劳务分包计件清单计价表</t>
  </si>
  <si>
    <t>附件七-2 架线及拆除部分</t>
  </si>
  <si>
    <t>架空工程</t>
  </si>
  <si>
    <t>架线
及拆除</t>
  </si>
  <si>
    <t>1.型号、规格:JL3/G1A-240/30
2.回路数:单回路
3.相分裂数:二分裂
4.含:导引绳展放及牵、张场场地建设</t>
  </si>
  <si>
    <t>施工准备、材料运输、牵张场地建设、人力或机械牵引放线、护线及锚线、导线架设、光缆地线架设、杆塔监护、接续、跨越措施安拆监护、刚（柔）性防坠落装置、耐张串悬垂串跳线串间隔棒组合安装、紧挂线、弧垂观测、直线接头连接、引流线组合安装、附件安装、避雷器安装、三点接地、施工机械装拆与场外运输、工器具移运、场地清理等。跨越情况以现场实际情况为准。</t>
  </si>
  <si>
    <t>km</t>
  </si>
  <si>
    <t xml:space="preserve">  架设、弧垂调整、拆除涉及跨越以现场为准，结算时不调整单价。废旧物资应运回，拆旧费包干。跨越导地线架设不因停电、青苗等窝工办理签证。停电跨越、跨越高速公路、跨铁路等不因跨越措施方式、方案不同办理签证。跨越电力线按停电措施考虑，若实际需要带电跨越措施、全封闭跨越架措施则另行委托并扣减原停电跨越、一般跨越定额措施费。不区分张力架线和一般架线，综合价考虑，不因施工组织方式不同而调整结算单价。</t>
  </si>
  <si>
    <t>1.型号、规格:LGJ-150/25
2.回路数:单回路
3.相分裂数:无分裂
4.是否随导线同期架设:重新紧放线</t>
  </si>
  <si>
    <t>附件安装</t>
  </si>
  <si>
    <t>直线塔</t>
  </si>
  <si>
    <t>杆塔附件安装工程</t>
  </si>
  <si>
    <t>耐张塔</t>
  </si>
  <si>
    <t>拆除</t>
  </si>
  <si>
    <t>拆除费用：</t>
  </si>
  <si>
    <t>拆除导线、避雷线、金具、绝缘子、避雷器、防震锤等附件，以上拆除物资均含返库运输</t>
  </si>
  <si>
    <t>详见附表</t>
  </si>
  <si>
    <r>
      <rPr>
        <sz val="9"/>
        <rFont val="Arial"/>
        <charset val="134"/>
      </rPr>
      <t>1</t>
    </r>
    <r>
      <rPr>
        <sz val="9"/>
        <rFont val="宋体"/>
        <charset val="134"/>
      </rPr>
      <t>、本工程人力平均运距、汽车平均运距，</t>
    </r>
    <r>
      <rPr>
        <b/>
        <u/>
        <sz val="9"/>
        <color rgb="FFFF0000"/>
        <rFont val="宋体"/>
        <charset val="134"/>
      </rPr>
      <t>请现场踏勘研判折算进计件单价，不因图纸与实际不一致而调整结算单价；</t>
    </r>
  </si>
  <si>
    <r>
      <rPr>
        <sz val="9"/>
        <rFont val="Arial"/>
        <charset val="134"/>
      </rPr>
      <t>2</t>
    </r>
    <r>
      <rPr>
        <sz val="9"/>
        <rFont val="宋体"/>
        <charset val="134"/>
      </rPr>
      <t>、本工程地形、地质、地貌等工程图纸的描述仅供参考，</t>
    </r>
    <r>
      <rPr>
        <b/>
        <u/>
        <sz val="9"/>
        <color rgb="FFFF0000"/>
        <rFont val="宋体"/>
        <charset val="134"/>
      </rPr>
      <t>请现场踏勘研判折算进计件单价，不因图纸与实际不一致而调整结算单价；</t>
    </r>
  </si>
  <si>
    <r>
      <rPr>
        <sz val="9"/>
        <rFont val="Calibri"/>
        <charset val="134"/>
      </rPr>
      <t>3</t>
    </r>
    <r>
      <rPr>
        <sz val="9"/>
        <rFont val="宋体"/>
        <charset val="134"/>
      </rPr>
      <t>、计件单价是劳务分包人为完成劳务分包计件清单中一个规定计量单位项目所需的技工和普工的投入，仅包含人工费和税金等，在合同执行期间不论发生任何情况（特别说明除外），结算时计件单价不再做任何调整；</t>
    </r>
    <r>
      <rPr>
        <b/>
        <sz val="9"/>
        <rFont val="宋体"/>
        <charset val="134"/>
      </rPr>
      <t>特别说明：因劳务分包人原因引起承包人对外结算被核减结算费用，劳务分包结算时相关劳务作业项目视情况可同比例核减。</t>
    </r>
  </si>
  <si>
    <r>
      <rPr>
        <sz val="9"/>
        <rFont val="Calibri"/>
        <charset val="134"/>
      </rPr>
      <t>4</t>
    </r>
    <r>
      <rPr>
        <sz val="9"/>
        <rFont val="宋体"/>
        <charset val="134"/>
      </rPr>
      <t>、合价仅为付款提供依据，不做为劳务结算依据。计件劳务分包作业项目结算时按报单价乘以实际完成的计件量（以竣工图设计、验收计件量为准）计算，以审定结算为准。</t>
    </r>
  </si>
  <si>
    <r>
      <rPr>
        <sz val="9"/>
        <rFont val="Calibri"/>
        <charset val="134"/>
      </rPr>
      <t>5</t>
    </r>
    <r>
      <rPr>
        <sz val="9"/>
        <rFont val="宋体"/>
        <charset val="134"/>
      </rPr>
      <t>、单价和合价采用一般计税法，税率</t>
    </r>
    <r>
      <rPr>
        <sz val="9"/>
        <rFont val="Calibri"/>
        <charset val="134"/>
      </rPr>
      <t>3%</t>
    </r>
    <r>
      <rPr>
        <sz val="9"/>
        <rFont val="宋体"/>
        <charset val="134"/>
      </rPr>
      <t>。</t>
    </r>
  </si>
  <si>
    <r>
      <rPr>
        <sz val="11"/>
        <rFont val="宋体"/>
        <charset val="134"/>
      </rPr>
      <t xml:space="preserve">报价总计（人民币大写）： </t>
    </r>
    <r>
      <rPr>
        <u/>
        <sz val="11"/>
        <rFont val="宋体"/>
        <charset val="134"/>
      </rPr>
      <t xml:space="preserve">                                        </t>
    </r>
    <r>
      <rPr>
        <sz val="11"/>
        <rFont val="宋体"/>
        <charset val="134"/>
      </rPr>
      <t xml:space="preserve">                         </t>
    </r>
  </si>
  <si>
    <t>--机械使用暂列费用表</t>
  </si>
  <si>
    <t>计算附表2-机械费用暂列表</t>
  </si>
  <si>
    <t>费用明细</t>
  </si>
  <si>
    <t>台班数</t>
  </si>
  <si>
    <t>暂列单价</t>
  </si>
  <si>
    <t>组塔（输电专用载重汽车 4t）</t>
  </si>
  <si>
    <t>台班</t>
  </si>
  <si>
    <t>参照投标文件台班数计列，请参照机械结算单据实发生。</t>
  </si>
  <si>
    <t>架线（牵引机 一牵一）</t>
  </si>
  <si>
    <t>架线（张力机 一张一）</t>
  </si>
  <si>
    <t>架线（牵引机 一牵二）</t>
  </si>
  <si>
    <t>架线（张力机 一张二）</t>
  </si>
  <si>
    <t>合计：</t>
  </si>
  <si>
    <t>按照框架据实结算，做总价控制</t>
  </si>
  <si>
    <t>--跨越架暂列费用表</t>
  </si>
  <si>
    <t>计算附表3-跨越费用暂列表</t>
  </si>
  <si>
    <t>投标工程量</t>
  </si>
  <si>
    <t>框架单价</t>
  </si>
  <si>
    <t>低压、弱电线</t>
  </si>
  <si>
    <t>处</t>
  </si>
  <si>
    <t>以处为单位办理，按照框架价计列</t>
  </si>
  <si>
    <t>10kV电力线</t>
  </si>
  <si>
    <t>一般公路</t>
  </si>
  <si>
    <t>被穿越电力线电压等级:500kV（停电）</t>
  </si>
  <si>
    <t>原则应为停电施工，不计列该费用</t>
  </si>
  <si>
    <t>被穿越电力线电压等级:220kV（带电）</t>
  </si>
  <si>
    <t>被穿越电力线电压等级:110kV（带电）</t>
  </si>
  <si>
    <t>被穿越电力线电压等级:35kV（带电）</t>
  </si>
  <si>
    <t>特殊跨越（铁路）</t>
  </si>
  <si>
    <t>特殊跨越（高速）</t>
  </si>
  <si>
    <t>1.被跨越物名称:水塘
2.河宽步距:50m以内</t>
  </si>
  <si>
    <t>按照投标文件100%预列</t>
  </si>
  <si>
    <t>1.被跨越物名称:水塘
2.河宽步距:150m以内</t>
  </si>
  <si>
    <t>交叉跨越（房屋、民防局、棚、集装箱、亭子）</t>
  </si>
  <si>
    <t>土路</t>
  </si>
  <si>
    <t>原则上不搭设</t>
  </si>
  <si>
    <t>河流</t>
  </si>
  <si>
    <t>总价控制，据实发生</t>
  </si>
  <si>
    <t>--其他费用表</t>
  </si>
  <si>
    <t>计算附表4-其他费用明细表</t>
  </si>
  <si>
    <t>投标报价</t>
  </si>
  <si>
    <t>暂列价</t>
  </si>
  <si>
    <t>按照投标报价80%暂列费用，据实办理。【含建设场地征用费用、林木补偿（含施工道路）、恢复林业生产条件费（含施工道路）、青苗、经济作物补偿（含施工道路）、（松树、樟树、杂树）树木砍伐费用】，按照投标报价80%暂列费用，据实办理。</t>
  </si>
  <si>
    <t>按照投标报价80%暂列费用，据实办理。</t>
  </si>
  <si>
    <t>迁改10kv架空线150m,投标人自行考虑，结算单价不予调整、工程量双向调整</t>
  </si>
  <si>
    <t>按照投标报价100%暂列费用</t>
  </si>
  <si>
    <t>--其他施工框架费用表</t>
  </si>
  <si>
    <t>计算附表5-其他框架费用表</t>
  </si>
  <si>
    <t>头</t>
  </si>
  <si>
    <t>按照48芯预列，实际结算以框架合同为准</t>
  </si>
  <si>
    <t>条</t>
  </si>
  <si>
    <t>110kV单回路原则上自主实施，220kV单回路2.69万元/条，按照原框架列取费用</t>
  </si>
  <si>
    <t>按照投标文件80%预列</t>
  </si>
  <si>
    <t>--跨越咨询费用表</t>
  </si>
  <si>
    <t>跨电气化铁路咨询措施费</t>
  </si>
  <si>
    <t>跨高速公路咨询费</t>
  </si>
  <si>
    <t>输电线路跨越补偿费（天然气）</t>
  </si>
  <si>
    <t>按照投标文件80%计列</t>
  </si>
  <si>
    <t>--工程检测费暂列费用表</t>
  </si>
  <si>
    <t>检测项目</t>
  </si>
  <si>
    <r>
      <rPr>
        <b/>
        <sz val="10.5"/>
        <color rgb="FF000000"/>
        <rFont val="宋体"/>
        <charset val="134"/>
      </rPr>
      <t>检测</t>
    </r>
    <r>
      <rPr>
        <b/>
        <sz val="10.5"/>
        <color rgb="FF000000"/>
        <rFont val="宋体"/>
        <charset val="134"/>
      </rPr>
      <t>参数</t>
    </r>
  </si>
  <si>
    <t>工作要求</t>
  </si>
  <si>
    <t>检测数量</t>
  </si>
  <si>
    <t>计费</t>
  </si>
  <si>
    <t>单项</t>
  </si>
  <si>
    <r>
      <rPr>
        <b/>
        <sz val="10.5"/>
        <color rgb="FF000000"/>
        <rFont val="宋体"/>
        <charset val="134"/>
      </rPr>
      <t>单价</t>
    </r>
    <r>
      <rPr>
        <b/>
        <sz val="10.5"/>
        <color rgb="FF000000"/>
        <rFont val="宋体"/>
        <charset val="134"/>
      </rPr>
      <t>（元）</t>
    </r>
  </si>
  <si>
    <t>合计（元）</t>
  </si>
  <si>
    <t>建筑原材料</t>
  </si>
  <si>
    <t>水泥</t>
  </si>
  <si>
    <r>
      <rPr>
        <sz val="10.5"/>
        <color theme="1"/>
        <rFont val="宋体"/>
        <charset val="134"/>
      </rPr>
      <t>凝结时间</t>
    </r>
    <r>
      <rPr>
        <sz val="10.5"/>
        <color theme="1"/>
        <rFont val="仿宋_GB2312"/>
        <charset val="134"/>
      </rPr>
      <t>、</t>
    </r>
    <r>
      <rPr>
        <sz val="10.5"/>
        <color theme="1"/>
        <rFont val="宋体"/>
        <charset val="134"/>
      </rPr>
      <t>安定性</t>
    </r>
    <r>
      <rPr>
        <sz val="10.5"/>
        <color theme="1"/>
        <rFont val="仿宋_GB2312"/>
        <charset val="134"/>
      </rPr>
      <t>、</t>
    </r>
    <r>
      <rPr>
        <sz val="10.5"/>
        <color theme="1"/>
        <rFont val="宋体"/>
        <charset val="134"/>
      </rPr>
      <t>强度</t>
    </r>
  </si>
  <si>
    <t>按同一生产厂家、同一品种、统一代号、同一强度等级、同一批号且连续进场的水泥，袋装不超过100t 为一批，散不超过 200t 为一批，每批抽样不少于 1次。取样数量为 24kg，缩分为两等份</t>
  </si>
  <si>
    <t>组</t>
  </si>
  <si>
    <r>
      <rPr>
        <sz val="10.5"/>
        <color theme="1"/>
        <rFont val="Times New Roman"/>
        <charset val="134"/>
      </rPr>
      <t>200t</t>
    </r>
    <r>
      <rPr>
        <sz val="10.5"/>
        <color theme="1"/>
        <rFont val="仿宋_GB2312"/>
        <charset val="134"/>
      </rPr>
      <t>，首检需做</t>
    </r>
    <r>
      <rPr>
        <sz val="10.5"/>
        <color theme="1"/>
        <rFont val="宋体"/>
        <charset val="134"/>
      </rPr>
      <t>氯离子含量</t>
    </r>
  </si>
  <si>
    <t>氯离子含量</t>
  </si>
  <si>
    <r>
      <rPr>
        <sz val="10.5"/>
        <color theme="1"/>
        <rFont val="宋体"/>
        <charset val="134"/>
      </rPr>
      <t>颗粒级配</t>
    </r>
    <r>
      <rPr>
        <sz val="10.5"/>
        <color theme="1"/>
        <rFont val="仿宋_GB2312"/>
        <charset val="134"/>
      </rPr>
      <t>、</t>
    </r>
    <r>
      <rPr>
        <sz val="10.5"/>
        <color theme="1"/>
        <rFont val="宋体"/>
        <charset val="134"/>
      </rPr>
      <t>含泥量</t>
    </r>
    <r>
      <rPr>
        <sz val="10.5"/>
        <color theme="1"/>
        <rFont val="仿宋_GB2312"/>
        <charset val="134"/>
      </rPr>
      <t>、</t>
    </r>
    <r>
      <rPr>
        <sz val="10.5"/>
        <color theme="1"/>
        <rFont val="宋体"/>
        <charset val="134"/>
      </rPr>
      <t>泥块含量</t>
    </r>
    <r>
      <rPr>
        <sz val="10.5"/>
        <color theme="1"/>
        <rFont val="仿宋_GB2312"/>
        <charset val="134"/>
      </rPr>
      <t>、</t>
    </r>
    <r>
      <rPr>
        <sz val="10.5"/>
        <color theme="1"/>
        <rFont val="宋体"/>
        <charset val="134"/>
      </rPr>
      <t>氯离子含量</t>
    </r>
  </si>
  <si>
    <t>同产地、同规格分批验收，大型工具，应以400m3 或600t为一验收批；小型工具运输的（如拖拉机等）应以200m3 或300t为一验收批。如进货量大且质量稳定可以1000t 为一验收批</t>
  </si>
  <si>
    <r>
      <rPr>
        <sz val="10.5"/>
        <color theme="1"/>
        <rFont val="仿宋_GB2312"/>
        <charset val="134"/>
      </rPr>
      <t>首检需做</t>
    </r>
    <r>
      <rPr>
        <sz val="10.5"/>
        <color theme="1"/>
        <rFont val="宋体"/>
        <charset val="134"/>
      </rPr>
      <t>碱活性</t>
    </r>
  </si>
  <si>
    <t>碱活性</t>
  </si>
  <si>
    <t>石子</t>
  </si>
  <si>
    <r>
      <rPr>
        <sz val="10.5"/>
        <color theme="1"/>
        <rFont val="宋体"/>
        <charset val="134"/>
      </rPr>
      <t>颗粒级配</t>
    </r>
    <r>
      <rPr>
        <sz val="10.5"/>
        <color theme="1"/>
        <rFont val="仿宋_GB2312"/>
        <charset val="134"/>
      </rPr>
      <t>、</t>
    </r>
    <r>
      <rPr>
        <sz val="10.5"/>
        <color theme="1"/>
        <rFont val="宋体"/>
        <charset val="134"/>
      </rPr>
      <t>含泥量</t>
    </r>
    <r>
      <rPr>
        <sz val="10.5"/>
        <color theme="1"/>
        <rFont val="仿宋_GB2312"/>
        <charset val="134"/>
      </rPr>
      <t>、</t>
    </r>
    <r>
      <rPr>
        <sz val="10.5"/>
        <color theme="1"/>
        <rFont val="宋体"/>
        <charset val="134"/>
      </rPr>
      <t>泥块含量</t>
    </r>
    <r>
      <rPr>
        <sz val="10.5"/>
        <color theme="1"/>
        <rFont val="仿宋_GB2312"/>
        <charset val="134"/>
      </rPr>
      <t>、</t>
    </r>
    <r>
      <rPr>
        <sz val="10.5"/>
        <color theme="1"/>
        <rFont val="宋体"/>
        <charset val="134"/>
      </rPr>
      <t>针片状颗粒含量</t>
    </r>
  </si>
  <si>
    <t>同产地、同规格分批验收，大型工具，应以400m3或600t为一验收批；小型工具运输的（如拖拉机等）应以200m3或300t为一验收批。如进货量大且质量稳定可以1000t 为一验收批。</t>
  </si>
  <si>
    <t>、</t>
  </si>
  <si>
    <t>钢筋原材</t>
  </si>
  <si>
    <r>
      <rPr>
        <sz val="10.5"/>
        <color theme="1"/>
        <rFont val="宋体"/>
        <charset val="134"/>
      </rPr>
      <t>屈服强度、抗拉强度、伸长率</t>
    </r>
    <r>
      <rPr>
        <sz val="10.5"/>
        <color theme="1"/>
        <rFont val="仿宋_GB2312"/>
        <charset val="134"/>
      </rPr>
      <t>、重量偏差、弯曲性能</t>
    </r>
  </si>
  <si>
    <t>按照进场批次和产品的抽样检验方案确定</t>
  </si>
  <si>
    <r>
      <rPr>
        <sz val="10.5"/>
        <color theme="1"/>
        <rFont val="仿宋_GB2312"/>
        <charset val="134"/>
      </rPr>
      <t>按每规格</t>
    </r>
    <r>
      <rPr>
        <sz val="10.5"/>
        <color theme="1"/>
        <rFont val="Times New Roman"/>
        <charset val="134"/>
      </rPr>
      <t>60t</t>
    </r>
    <r>
      <rPr>
        <sz val="10.5"/>
        <color theme="1"/>
        <rFont val="仿宋_GB2312"/>
        <charset val="134"/>
      </rPr>
      <t>考虑</t>
    </r>
  </si>
  <si>
    <t>导地线接续管与耐张线夹的压接质量检测</t>
  </si>
  <si>
    <t>握力试验</t>
  </si>
  <si>
    <t>线路中每种形式的试件不得少于3根，变电站每种形式的试件不得少于2根。</t>
  </si>
  <si>
    <t>新建线路</t>
  </si>
  <si>
    <t>焊条</t>
  </si>
  <si>
    <t>溶敷金属力学性能试验</t>
  </si>
  <si>
    <t>每批焊条检验时，按照需要数量至少在三个部位取有代表性的样品</t>
  </si>
  <si>
    <r>
      <rPr>
        <sz val="10.5"/>
        <color theme="1"/>
        <rFont val="Times New Roman"/>
        <charset val="134"/>
      </rPr>
      <t xml:space="preserve">    </t>
    </r>
    <r>
      <rPr>
        <sz val="10.5"/>
        <color theme="1"/>
        <rFont val="仿宋_GB2312"/>
        <charset val="134"/>
      </rPr>
      <t>首批材料进场做一次（二选一）</t>
    </r>
  </si>
  <si>
    <t>混凝土用水</t>
  </si>
  <si>
    <r>
      <rPr>
        <sz val="10.5"/>
        <color theme="1"/>
        <rFont val="Times New Roman"/>
        <charset val="134"/>
      </rPr>
      <t xml:space="preserve">pH </t>
    </r>
    <r>
      <rPr>
        <sz val="10.5"/>
        <color theme="1"/>
        <rFont val="宋体"/>
        <charset val="134"/>
      </rPr>
      <t>值</t>
    </r>
    <r>
      <rPr>
        <sz val="10.5"/>
        <color theme="1"/>
        <rFont val="仿宋_GB2312"/>
        <charset val="134"/>
      </rPr>
      <t>、不溶物含量、可溶物含量、氯离子含量、硫酸根离子含量、碱含量</t>
    </r>
  </si>
  <si>
    <t>地表水每6 个月检验一次，地下水每年检验一次，再生水每 3个月检验一次，在质量稳定一年后，可每6 个月检验一次；混凝土企业设备刷水每 3 个月检验一次，在质量稳定一年</t>
  </si>
  <si>
    <r>
      <rPr>
        <sz val="10.5"/>
        <color theme="1"/>
        <rFont val="宋体"/>
        <charset val="134"/>
      </rPr>
      <t xml:space="preserve">后， </t>
    </r>
    <r>
      <rPr>
        <sz val="10.5"/>
        <color theme="1"/>
        <rFont val="宋体"/>
        <charset val="134"/>
      </rPr>
      <t xml:space="preserve"> </t>
    </r>
    <r>
      <rPr>
        <sz val="10.5"/>
        <color theme="1"/>
        <rFont val="宋体"/>
        <charset val="134"/>
      </rPr>
      <t>可一年检验一次；当发现水受到污染和对混凝土性能有影响时，应立即检验。采用饮用水时可不检验，采用中水、搅拌站清洗水、施工现场循环水等其他水源时，应对其成分进行检验。</t>
    </r>
  </si>
  <si>
    <t>钢筋焊接</t>
  </si>
  <si>
    <r>
      <rPr>
        <sz val="10.5"/>
        <color theme="1"/>
        <rFont val="仿宋_GB2312"/>
        <charset val="134"/>
      </rPr>
      <t>外观检查、接头</t>
    </r>
    <r>
      <rPr>
        <sz val="10.5"/>
        <color theme="1"/>
        <rFont val="宋体"/>
        <charset val="134"/>
      </rPr>
      <t>拉伸试验、</t>
    </r>
    <r>
      <rPr>
        <sz val="10.5"/>
        <color theme="1"/>
        <rFont val="仿宋_GB2312"/>
        <charset val="134"/>
      </rPr>
      <t>接头</t>
    </r>
    <r>
      <rPr>
        <sz val="10.5"/>
        <color theme="1"/>
        <rFont val="宋体"/>
        <charset val="134"/>
      </rPr>
      <t>弯曲试验</t>
    </r>
  </si>
  <si>
    <t>每批钢筋正式焊接前；每种牌号、规格至少做 1 组试件进</t>
  </si>
  <si>
    <t>二选一</t>
  </si>
  <si>
    <t>行工艺检验。非工艺检验：对焊接头的质量检验，应分批进行外观质量检查和力学性能检验，并应符合下列规定:1.在同一台班内，由同一个焊工完成的300 个同牌号、同直径钢筋焊接接头应作为一批。当同一台班内焊接的接头数量较少，可在一周之内累计计算;累计仍不足 300 个接头时，应按一批计算;2.力学性能检验时，应从每批接头中随机切取6个接头其中3 个做拉伸试验，3个做弯曲试验;3.异径钢筋接头可只</t>
  </si>
  <si>
    <t>做拉伸试验;4.预埋件钢筋 T 形接头的外观质量检查，应从同一台班内完成的同类型预埋件中抽查 5%，且不得少于 10 件。</t>
  </si>
  <si>
    <t>钢筋机械连接</t>
  </si>
  <si>
    <t>连接接头强度试验</t>
  </si>
  <si>
    <t>接头批量加工前，各种类型和型式接头都应进行工艺检验，现场抽检应按验收批进行，同钢筋生产厂、同强度等级、同</t>
  </si>
  <si>
    <t>规格、同类型和同型式接头应以500个为一个验收批进行检验与验收，不足 500个也应作为一个验收批</t>
  </si>
  <si>
    <t>钢筋工艺检验</t>
  </si>
  <si>
    <t>工艺评定</t>
  </si>
  <si>
    <t>全数检查</t>
  </si>
  <si>
    <t>整线</t>
  </si>
  <si>
    <t>拉伸试验</t>
  </si>
  <si>
    <t>每个厂家、每种规格抽检 3 套</t>
  </si>
  <si>
    <t>乙供需做，根据工程实际发生量确定</t>
  </si>
  <si>
    <t>混凝土配合比</t>
  </si>
  <si>
    <t>混凝土性能试验：坍落度或维勃稠度、容重、抗压强度等</t>
  </si>
  <si>
    <t>满足设计、施工对混凝土强度、耐久性、和易性、经济性的要求；满足相关的国家及行业标准要求</t>
  </si>
  <si>
    <t>混凝土试块抗压强度</t>
  </si>
  <si>
    <t>抗压强度</t>
  </si>
  <si>
    <t>同一配合比混凝土，取样与试件留置应符合下列规定：每拌制 100 盘且不超过100m3 时，取样不得少于 1 次；每工作</t>
  </si>
  <si>
    <t>班拌制不足 100 盘时，取样不得少于 1次；连续浇筑超过1000m3 时，超过部分每 200m3 取样不得少于 1 次；每一楼层取样不得少于 1次；每次取样应至少留置 1 组试件。</t>
  </si>
  <si>
    <t>混凝土结构</t>
  </si>
  <si>
    <t>结构实体同条件养护试件（抗压强度）</t>
  </si>
  <si>
    <t>1同条件养护试件所对应的结构构件或结构部位，应由施工、监理等各方共同选定，且同条件养护试件的取样宣均匀分布于工程施工周期内;</t>
  </si>
  <si>
    <t>2同条件养护试件应在混凝土浇筑人模处见证取样;</t>
  </si>
  <si>
    <t>3同条件养护试件应留量在靠近相应结构构件的适当位置，并应采取相同的养护方法;</t>
  </si>
  <si>
    <t>4同一强度等级的同条件养护试件不宜少于10组，且不应少于3组。每连续两层楼取样不应少于1组:每2000m2取样不得少于1组。</t>
  </si>
  <si>
    <t>拆除工程费计价表</t>
  </si>
  <si>
    <t>工程名称：万里~西河改接汪墩变110kV线路工程</t>
  </si>
  <si>
    <t>标段：   金额单位：元</t>
  </si>
  <si>
    <t>项目特征</t>
  </si>
  <si>
    <t>全费用综合单价</t>
  </si>
  <si>
    <t>导线架设</t>
  </si>
  <si>
    <t>1.型号、规格:185mm²以内
2.回路数:单回路
3.相分裂数:无分裂
4.运距:自行测算，结算不调整</t>
  </si>
  <si>
    <t>避雷线架设</t>
  </si>
  <si>
    <t>1.型号、规格:100mm²以内
2.废旧物资返库运距:自行测算，结算不调整</t>
  </si>
  <si>
    <t>OPGW架设</t>
  </si>
  <si>
    <t>导线耐张金具绝缘子串</t>
  </si>
  <si>
    <t>1.电压等级:110kV
2.导线分裂数:无分裂
3.运距:自行测算，结算不调整</t>
  </si>
  <si>
    <t>安装乙供装置性材料价差汇总表</t>
  </si>
  <si>
    <t>金额单位:元</t>
  </si>
  <si>
    <t>编号</t>
  </si>
  <si>
    <t>材料名称</t>
  </si>
  <si>
    <t>设计用量</t>
  </si>
  <si>
    <t>损耗率（%）</t>
  </si>
  <si>
    <t>单价（不含税）</t>
  </si>
  <si>
    <t>合价（不含税）</t>
  </si>
  <si>
    <t>预算价</t>
  </si>
  <si>
    <t>市场价</t>
  </si>
  <si>
    <t>架空输电线路本体工程</t>
  </si>
  <si>
    <t xml:space="preserve">地脚螺栓 </t>
  </si>
  <si>
    <t xml:space="preserve">毛石 </t>
  </si>
  <si>
    <t>镀锌型钢 综合</t>
  </si>
  <si>
    <t>普通圆钢 甲沸 10以外 HPB300 接地 综合</t>
  </si>
  <si>
    <t>普通圆钢 甲沸 10以内 HPB300 接地 综合</t>
  </si>
  <si>
    <t>普通圆钢 甲沸 10以内 HPB300 综合</t>
  </si>
  <si>
    <t>普通圆钢 甲沸 10以上 HPB300 综合</t>
  </si>
  <si>
    <t>普通圆钢 甲沸 10以下 HRB400 综合</t>
  </si>
  <si>
    <t>普通圆钢 甲沸 10以外 HRB400 综合</t>
  </si>
  <si>
    <t>冷拔一般无缝钢管 综合</t>
  </si>
  <si>
    <t>OPGW光缆 OPGW-24B1-100</t>
  </si>
  <si>
    <t>塔材（高强钢） 角钢塔</t>
  </si>
  <si>
    <t>钢芯铝绞线 JL1/G1A  240/30</t>
  </si>
  <si>
    <t>铝包钢芯铝绞线 JL/LB20A 80</t>
  </si>
  <si>
    <t>混凝土 C15</t>
  </si>
  <si>
    <t>普通硅酸盐水泥 42.5</t>
  </si>
  <si>
    <t xml:space="preserve">中砂 </t>
  </si>
  <si>
    <t>碎石 粒径40mm以内</t>
  </si>
  <si>
    <t>混凝土 C25</t>
  </si>
  <si>
    <t>水泥砂浆 M7.5</t>
  </si>
  <si>
    <t>小计：</t>
  </si>
  <si>
    <t>表N.11 架空输电线路安装工程汇总概算表</t>
  </si>
  <si>
    <t>表二</t>
  </si>
  <si>
    <t>工程或费用名称</t>
  </si>
  <si>
    <t>取费基数</t>
  </si>
  <si>
    <t>费率%</t>
  </si>
  <si>
    <t>杆塔工程</t>
  </si>
  <si>
    <t>接地工程</t>
  </si>
  <si>
    <t>架线工程</t>
  </si>
  <si>
    <t>附件工程</t>
  </si>
  <si>
    <t>辅助工程</t>
  </si>
  <si>
    <t>各项占总计%</t>
  </si>
  <si>
    <t>单位投资元/km</t>
  </si>
  <si>
    <t>安全费</t>
  </si>
  <si>
    <t>基础</t>
  </si>
  <si>
    <t>1</t>
  </si>
  <si>
    <t>直接工程费</t>
  </si>
  <si>
    <t>1.1</t>
  </si>
  <si>
    <t>定额直接费</t>
  </si>
  <si>
    <t>1.1.1</t>
  </si>
  <si>
    <t>人工费</t>
  </si>
  <si>
    <t>1.1.2</t>
  </si>
  <si>
    <t>材料费</t>
  </si>
  <si>
    <t>1.1.3</t>
  </si>
  <si>
    <t>施工机械使用费</t>
  </si>
  <si>
    <t>1.2</t>
  </si>
  <si>
    <t>装置性材料费</t>
  </si>
  <si>
    <t>1.2.1</t>
  </si>
  <si>
    <t>甲供装置性材料费</t>
  </si>
  <si>
    <t>1.2.2</t>
  </si>
  <si>
    <t>乙供装置性材料费</t>
  </si>
  <si>
    <t>2</t>
  </si>
  <si>
    <t>2.1</t>
  </si>
  <si>
    <t>冬雨季施工增加费</t>
  </si>
  <si>
    <t>2.2</t>
  </si>
  <si>
    <t>夜间施工增加费</t>
  </si>
  <si>
    <t>2.3</t>
  </si>
  <si>
    <t>施工工具用具使用费</t>
  </si>
  <si>
    <t>2.4</t>
  </si>
  <si>
    <t>特殊地区施工增加费</t>
  </si>
  <si>
    <t>2.5</t>
  </si>
  <si>
    <t>2.6</t>
  </si>
  <si>
    <t>施工机构迁移费</t>
  </si>
  <si>
    <t>2.7</t>
  </si>
  <si>
    <t>二</t>
  </si>
  <si>
    <t>间接费</t>
  </si>
  <si>
    <t>规费</t>
  </si>
  <si>
    <t>社会保险费</t>
  </si>
  <si>
    <t>住房公积金</t>
  </si>
  <si>
    <t>企业管理费</t>
  </si>
  <si>
    <t>3</t>
  </si>
  <si>
    <t>施工企业配合调试费</t>
  </si>
  <si>
    <t>三</t>
  </si>
  <si>
    <t>利润</t>
  </si>
  <si>
    <t>四</t>
  </si>
  <si>
    <t>编制基准期价差</t>
  </si>
  <si>
    <t>人工价差</t>
  </si>
  <si>
    <t>材料价差</t>
  </si>
  <si>
    <t>机械价差</t>
  </si>
  <si>
    <t>4</t>
  </si>
  <si>
    <t>装置性材料价差</t>
  </si>
  <si>
    <t>4.1</t>
  </si>
  <si>
    <t>甲供装置性材料价差</t>
  </si>
  <si>
    <t>4.2</t>
  </si>
  <si>
    <t>乙供装置性材料价差</t>
  </si>
  <si>
    <t>五</t>
  </si>
  <si>
    <t>六</t>
  </si>
  <si>
    <t>乙供设备不含税价</t>
  </si>
  <si>
    <t>甲供设备含税价</t>
  </si>
  <si>
    <t>九</t>
  </si>
  <si>
    <t>各项占合计（%）</t>
  </si>
  <si>
    <t>单位投资（元/km）</t>
  </si>
  <si>
    <t>表N.12 架空输电线路单位工程概算表</t>
  </si>
  <si>
    <t>表三</t>
  </si>
  <si>
    <t>编制依据</t>
  </si>
  <si>
    <t>项目名称及规格</t>
  </si>
  <si>
    <t>单价</t>
  </si>
  <si>
    <t>装置性材料/设备</t>
  </si>
  <si>
    <t>安装费</t>
  </si>
  <si>
    <t>其中：人工费</t>
  </si>
  <si>
    <t>其中：机械费</t>
  </si>
  <si>
    <t>基础工程材料工地运输</t>
  </si>
  <si>
    <t>金具、绝缘子、零星钢材：</t>
  </si>
  <si>
    <t xml:space="preserve"> YX1-17</t>
  </si>
  <si>
    <t>人力运输 金具、绝缘子、零星钢材</t>
  </si>
  <si>
    <t>t.km</t>
  </si>
  <si>
    <t xml:space="preserve"> YX1-97</t>
  </si>
  <si>
    <t>汽车运输 金具、绝缘子、零星钢材 装卸</t>
  </si>
  <si>
    <t xml:space="preserve"> YX1-98</t>
  </si>
  <si>
    <t>汽车运输 金具、绝缘子、零星钢材 运输</t>
  </si>
  <si>
    <t>其他建筑安装材料：</t>
  </si>
  <si>
    <t xml:space="preserve"> YX1-22</t>
  </si>
  <si>
    <t>人力运输 其他建筑安装材料</t>
  </si>
  <si>
    <t xml:space="preserve"> YX1-107</t>
  </si>
  <si>
    <t>汽车运输 其他建筑安装材料 装卸</t>
  </si>
  <si>
    <t xml:space="preserve"> YX1-108</t>
  </si>
  <si>
    <t>汽车运输 其他建筑安装材料 运输</t>
  </si>
  <si>
    <t>地形系数增加--特征段1--工地运输（人力运输）金具、绝缘子、零星钢材、塔材、其他建筑安装材料（不含机械费）</t>
  </si>
  <si>
    <t>%</t>
  </si>
  <si>
    <t>地形系数增加--特征段1--工地运输拖拉机、汽车运输（不含装卸，沙漠地形没有正式公路时使用）</t>
  </si>
  <si>
    <t>七</t>
  </si>
  <si>
    <t>十</t>
  </si>
  <si>
    <t>基础土石方工程</t>
  </si>
  <si>
    <t>线路复测及分坑：</t>
  </si>
  <si>
    <t xml:space="preserve"> YX2-6</t>
  </si>
  <si>
    <t>线路复测及分坑 直线自立塔</t>
  </si>
  <si>
    <t xml:space="preserve"> YX2-7</t>
  </si>
  <si>
    <t>线路复测及分坑 耐张（转角）自立塔</t>
  </si>
  <si>
    <t>泥水：</t>
  </si>
  <si>
    <t xml:space="preserve"> YX2-50</t>
  </si>
  <si>
    <t>电杆坑、塔坑、拉线坑人工挖方（或爆破）及回填 泥水 坑深4.0m以内</t>
  </si>
  <si>
    <t>松砂石：</t>
  </si>
  <si>
    <t xml:space="preserve"> YX2-134</t>
  </si>
  <si>
    <t>挖孔基础人工挖方（或爆破） 松砂石 坑径1500mm以内 坑深5m以内</t>
  </si>
  <si>
    <t xml:space="preserve"> YX2-135</t>
  </si>
  <si>
    <t>挖孔基础人工挖方（或爆破） 松砂石 坑径1500mm以内 坑深10m以内</t>
  </si>
  <si>
    <t>地形系数增加--特征段1--土石方工程（不含机械费）</t>
  </si>
  <si>
    <t>1.3</t>
  </si>
  <si>
    <t>基础砌筑</t>
  </si>
  <si>
    <t>1.3.2</t>
  </si>
  <si>
    <t>钢筋加工及制作：</t>
  </si>
  <si>
    <t xml:space="preserve"> YX3-43</t>
  </si>
  <si>
    <t>钢筋加工及制作</t>
  </si>
  <si>
    <t>基础垫层：</t>
  </si>
  <si>
    <t xml:space="preserve"> YX3-61</t>
  </si>
  <si>
    <t>基础垫层 素混凝土垫层 每基混凝土量10m³以内</t>
  </si>
  <si>
    <t xml:space="preserve"> YX3-62</t>
  </si>
  <si>
    <t>基础垫层 素混凝土垫层 每基混凝土量10m³以上</t>
  </si>
  <si>
    <t>混凝土搅拌及浇制：</t>
  </si>
  <si>
    <t xml:space="preserve"> YX3-64</t>
  </si>
  <si>
    <t>混凝土搅拌及浇制 每个基础混凝土量10m³以内</t>
  </si>
  <si>
    <t xml:space="preserve"> YX3-65</t>
  </si>
  <si>
    <t>混凝土搅拌及浇制 每个基础混凝土量20m³以内</t>
  </si>
  <si>
    <t xml:space="preserve"> YX3-66</t>
  </si>
  <si>
    <t>混凝土搅拌及浇制 每个基础混凝土量40m³以内</t>
  </si>
  <si>
    <t xml:space="preserve"> YX3-68</t>
  </si>
  <si>
    <t>混凝土搅拌及浇制 每个基础混凝土量80m³以上</t>
  </si>
  <si>
    <t xml:space="preserve"> YX3-72</t>
  </si>
  <si>
    <t>混凝土搅拌及浇制 保护帽</t>
  </si>
  <si>
    <t>地形系数增加--特征段1--基础工程</t>
  </si>
  <si>
    <t>主材损耗费：</t>
  </si>
  <si>
    <t>主材费小计：</t>
  </si>
  <si>
    <t>八</t>
  </si>
  <si>
    <t>主材费</t>
  </si>
  <si>
    <t>1.3.3</t>
  </si>
  <si>
    <t xml:space="preserve"> YX3-44</t>
  </si>
  <si>
    <t>钢筋笼加工及制作</t>
  </si>
  <si>
    <t>调 YX3-65*1.1</t>
  </si>
  <si>
    <t>调 YX3-65*0.9</t>
  </si>
  <si>
    <t>调 YX3-66*1.1</t>
  </si>
  <si>
    <t>调 YX3-66*0.9</t>
  </si>
  <si>
    <t xml:space="preserve"> YX3-171</t>
  </si>
  <si>
    <t>钻孔灌注桩基础 混凝土搅拌及浇制 孔深10m以内</t>
  </si>
  <si>
    <t>基础护壁：</t>
  </si>
  <si>
    <t xml:space="preserve"> YX3-192</t>
  </si>
  <si>
    <t>现浇护壁 无筋</t>
  </si>
  <si>
    <t>机械推钻成孔：</t>
  </si>
  <si>
    <t xml:space="preserve"> YX3-121</t>
  </si>
  <si>
    <t>钻孔灌注桩基础 机械推钻成孔 砂砾石 孔深20m以内 孔径1.8m以内</t>
  </si>
  <si>
    <t xml:space="preserve"> YX3-122</t>
  </si>
  <si>
    <t>钻孔灌注桩基础 机械推钻成孔 砂砾石 孔深20m以内 孔径2.0m以内</t>
  </si>
  <si>
    <t xml:space="preserve"> YX3-123</t>
  </si>
  <si>
    <t>钻孔灌注桩基础 机械推钻成孔 砂砾石 孔深20m以内 孔径2.2m以内</t>
  </si>
  <si>
    <t>商品混凝土浇制：</t>
  </si>
  <si>
    <t xml:space="preserve"> YX3-176</t>
  </si>
  <si>
    <t>钻孔灌注桩基础 商品混凝土浇制 孔深20m以内</t>
  </si>
  <si>
    <t>凿桩头：</t>
  </si>
  <si>
    <t xml:space="preserve"> YX3-180</t>
  </si>
  <si>
    <t>钻孔灌注桩基础 凿桩头 桩径0.8m以上</t>
  </si>
  <si>
    <t>个</t>
  </si>
  <si>
    <t>杆塔工程材料工地运输</t>
  </si>
  <si>
    <t>塔材：</t>
  </si>
  <si>
    <t xml:space="preserve"> YX1-20</t>
  </si>
  <si>
    <t>人力运输 角钢塔材</t>
  </si>
  <si>
    <t xml:space="preserve"> YX1-103</t>
  </si>
  <si>
    <t>汽车运输 角钢塔材 装卸</t>
  </si>
  <si>
    <t xml:space="preserve"> YX1-104</t>
  </si>
  <si>
    <t>汽车运输 角钢塔材 运输</t>
  </si>
  <si>
    <t>钢管杆：</t>
  </si>
  <si>
    <t xml:space="preserve"> YX1-59</t>
  </si>
  <si>
    <t>汽车运输 钢管杆 每件重7000kg以内 装卸</t>
  </si>
  <si>
    <t xml:space="preserve"> YX1-60</t>
  </si>
  <si>
    <t>汽车运输 钢管杆 每件重7000kg以内 运输</t>
  </si>
  <si>
    <t>杆塔组立</t>
  </si>
  <si>
    <t>2.2.2</t>
  </si>
  <si>
    <t>铁塔、钢管杆组立</t>
  </si>
  <si>
    <t>钢管杆组立：</t>
  </si>
  <si>
    <t xml:space="preserve"> YX4-21</t>
  </si>
  <si>
    <t>钢管杆组立 单杆分段式 每基重量10t以内</t>
  </si>
  <si>
    <t xml:space="preserve"> YX4-22</t>
  </si>
  <si>
    <t>钢管杆组立 单杆分段式 每基重量15t以内</t>
  </si>
  <si>
    <t>角钢塔组立：</t>
  </si>
  <si>
    <t xml:space="preserve"> YX4-40</t>
  </si>
  <si>
    <t>角钢塔组立 塔全高30m以内 每米塔重300kg以内</t>
  </si>
  <si>
    <t xml:space="preserve"> YX4-41</t>
  </si>
  <si>
    <t>角钢塔组立 塔全高30m以内 每米塔重400kg以内</t>
  </si>
  <si>
    <t xml:space="preserve"> YX4-45</t>
  </si>
  <si>
    <t>角钢塔组立 塔全高50m以内 每米塔重300kg以内</t>
  </si>
  <si>
    <t xml:space="preserve"> YX4-46</t>
  </si>
  <si>
    <t>角钢塔组立 塔全高50m以内 每米塔重400kg以内</t>
  </si>
  <si>
    <t xml:space="preserve"> YX4-47</t>
  </si>
  <si>
    <t>角钢塔组立 塔全高50m以内 每米塔重800kg以内</t>
  </si>
  <si>
    <t>地形系数增加--特征段1--杆塔工程</t>
  </si>
  <si>
    <t>3.1</t>
  </si>
  <si>
    <t>接地工程材料工地运输</t>
  </si>
  <si>
    <t>3.2</t>
  </si>
  <si>
    <t>接地土石方</t>
  </si>
  <si>
    <t>接地槽挖方（或爆破）及回填：</t>
  </si>
  <si>
    <t xml:space="preserve"> YX2-216</t>
  </si>
  <si>
    <t>接地槽挖方（或爆破）及回填 松砂石</t>
  </si>
  <si>
    <t xml:space="preserve"> YX2-217</t>
  </si>
  <si>
    <t>接地槽挖方（或爆破）及回填 泥水</t>
  </si>
  <si>
    <t xml:space="preserve"> YX2-219</t>
  </si>
  <si>
    <t>接地槽挖方（或爆破）及回填 岩石 人工开凿</t>
  </si>
  <si>
    <t>3.3</t>
  </si>
  <si>
    <t>接地安装</t>
  </si>
  <si>
    <t>接地体加工及制作：</t>
  </si>
  <si>
    <t xml:space="preserve"> YX3-203</t>
  </si>
  <si>
    <t>接地体加工及制作</t>
  </si>
  <si>
    <t>一般接地体安装：</t>
  </si>
  <si>
    <t xml:space="preserve"> YX3-206</t>
  </si>
  <si>
    <t>一般接地体安装 水平接地体敷设</t>
  </si>
  <si>
    <t>铜覆钢接地体安装：</t>
  </si>
  <si>
    <t xml:space="preserve"> YX3-208</t>
  </si>
  <si>
    <t>铜覆钢接地体安装 垂直接地体安装</t>
  </si>
  <si>
    <t>根</t>
  </si>
  <si>
    <t>接地测量及其他：</t>
  </si>
  <si>
    <t xml:space="preserve"> YX3-214</t>
  </si>
  <si>
    <t>接地电阻测量</t>
  </si>
  <si>
    <t>架线工程材料工地运输</t>
  </si>
  <si>
    <t>线材：</t>
  </si>
  <si>
    <t xml:space="preserve"> YX1-87</t>
  </si>
  <si>
    <t>汽车运输 线材 每件重2000kg以内 装卸</t>
  </si>
  <si>
    <t xml:space="preserve"> YX1-88</t>
  </si>
  <si>
    <t>汽车运输 线材 每件重2000kg以内 运输</t>
  </si>
  <si>
    <t xml:space="preserve"> YX1-89</t>
  </si>
  <si>
    <t>汽车运输 线材 每件重4000kg以内 装卸</t>
  </si>
  <si>
    <t xml:space="preserve"> YX1-90</t>
  </si>
  <si>
    <t>汽车运输 线材 每件重4000kg以内 运输</t>
  </si>
  <si>
    <t>导地线架设</t>
  </si>
  <si>
    <t>牵、张场场地建设：</t>
  </si>
  <si>
    <t xml:space="preserve"> YX5-18</t>
  </si>
  <si>
    <t>牵、张场场地建设 场地平整 单导线/OPGW</t>
  </si>
  <si>
    <t xml:space="preserve"> YX5-23</t>
  </si>
  <si>
    <t>牵、张场场地建设 钢板铺设 单导线/OPGW</t>
  </si>
  <si>
    <t>导引绳展放：</t>
  </si>
  <si>
    <t xml:space="preserve"> YX5-29</t>
  </si>
  <si>
    <t>导引绳展放 飞行器展放</t>
  </si>
  <si>
    <t>张力放、紧线：</t>
  </si>
  <si>
    <t xml:space="preserve"> YX5-30</t>
  </si>
  <si>
    <t>张力放、紧线 OPGW 100mm²以内</t>
  </si>
  <si>
    <t>调 YX5-38 R*1.75 C*2 J*1.75</t>
  </si>
  <si>
    <t>张力放、紧线 交流线路 导线 300mm²以内</t>
  </si>
  <si>
    <t>单盘测量：</t>
  </si>
  <si>
    <t xml:space="preserve"> YX5-208</t>
  </si>
  <si>
    <t>OPGW单盘测量 芯数 48以内</t>
  </si>
  <si>
    <t>盘</t>
  </si>
  <si>
    <t>接续：</t>
  </si>
  <si>
    <t xml:space="preserve"> YX5-217</t>
  </si>
  <si>
    <t>OPGW接续 芯数 48以内</t>
  </si>
  <si>
    <t>全程测量：</t>
  </si>
  <si>
    <t xml:space="preserve"> YX5-226</t>
  </si>
  <si>
    <t>OPGW全程测量 芯数 48以内</t>
  </si>
  <si>
    <t>段</t>
  </si>
  <si>
    <t>（费）</t>
  </si>
  <si>
    <t>飞行器租赁费</t>
  </si>
  <si>
    <t>地形系数增加--特征段1--架线工程张力机械放、紧线（不包括跨越架设、拦河线安装）</t>
  </si>
  <si>
    <t>地形系数增加--特征段1--架线工程光缆接续（不包括测量）</t>
  </si>
  <si>
    <t>4.3</t>
  </si>
  <si>
    <t>导地线跨越架设</t>
  </si>
  <si>
    <t>跨越架设：</t>
  </si>
  <si>
    <t xml:space="preserve"> YX5-100</t>
  </si>
  <si>
    <t>跨越一般公路 110kV</t>
  </si>
  <si>
    <t xml:space="preserve"> YX5-126</t>
  </si>
  <si>
    <t>110kV 跨越电力线 10kV</t>
  </si>
  <si>
    <t xml:space="preserve"> YX5-170</t>
  </si>
  <si>
    <t>跨越低压、弱电线 110kV</t>
  </si>
  <si>
    <t>带电跨越电力线：</t>
  </si>
  <si>
    <t xml:space="preserve"> YX5-185</t>
  </si>
  <si>
    <t>带电跨越电力线 被跨线电压等级 10kV</t>
  </si>
  <si>
    <t>5</t>
  </si>
  <si>
    <t>附件安装工程</t>
  </si>
  <si>
    <t>5.1</t>
  </si>
  <si>
    <t>附件安装工程材料工地运输</t>
  </si>
  <si>
    <t>5.2</t>
  </si>
  <si>
    <t>绝缘子串及金具安装</t>
  </si>
  <si>
    <t>5.2.1</t>
  </si>
  <si>
    <t>耐张绝缘子串及金具安装</t>
  </si>
  <si>
    <t>耐张转角杆塔导线挂线及绝缘子串安装：</t>
  </si>
  <si>
    <t xml:space="preserve"> YX6-2</t>
  </si>
  <si>
    <t>耐张转角杆塔导线挂线及绝缘子串安装 110kV 单导线</t>
  </si>
  <si>
    <t>跳线制作及安装：</t>
  </si>
  <si>
    <t xml:space="preserve"> YX6-155</t>
  </si>
  <si>
    <t>软跳线制作及安装 110kV 双分裂</t>
  </si>
  <si>
    <t>单相</t>
  </si>
  <si>
    <t>地形系数增加--特征段1--附件工程</t>
  </si>
  <si>
    <t>5.2.2</t>
  </si>
  <si>
    <t>悬垂绝缘子串及金具安装</t>
  </si>
  <si>
    <t>直线（直线换位、直线转角）杆塔绝缘子串悬挂安装：</t>
  </si>
  <si>
    <t xml:space="preserve"> YX6-23</t>
  </si>
  <si>
    <t>直线(直线换位、直线转角)杆塔绝缘子串悬挂安装 110kV I型单联串</t>
  </si>
  <si>
    <t>串</t>
  </si>
  <si>
    <t xml:space="preserve"> YX6-24</t>
  </si>
  <si>
    <t>直线(直线换位、直线转角)杆塔绝缘子串悬挂安装 110kV I型双联串</t>
  </si>
  <si>
    <t>导线缠绕铝包带线夹安装：</t>
  </si>
  <si>
    <t xml:space="preserve"> YX6-59</t>
  </si>
  <si>
    <t>导线缠绕铝包带线夹安装 直线(直线换位、直线转角)杆塔 110kV 单导线</t>
  </si>
  <si>
    <t>防振锤、间隔棒安装：</t>
  </si>
  <si>
    <t>调 YX6-101*1.2</t>
  </si>
  <si>
    <t>防振锤 单导线（避雷线、OPGW）</t>
  </si>
  <si>
    <t>6</t>
  </si>
  <si>
    <t>6.1</t>
  </si>
  <si>
    <t>尖峰、施工基面土石方工程</t>
  </si>
  <si>
    <t>尖峰及施工基面挖方（或爆破）：</t>
  </si>
  <si>
    <t xml:space="preserve"> YX2-228</t>
  </si>
  <si>
    <t>尖峰及施工基面挖方（或爆破） 松砂石</t>
  </si>
  <si>
    <t>6.2</t>
  </si>
  <si>
    <t>护坡、挡土墙及排洪沟</t>
  </si>
  <si>
    <t>6.2.1</t>
  </si>
  <si>
    <t>护坡、挡土墙及排洪沟材料工地运输</t>
  </si>
  <si>
    <t>6.2.3</t>
  </si>
  <si>
    <t>护坡、挡土墙及排洪沟砌筑</t>
  </si>
  <si>
    <t>护坡、挡土墙及排洪沟砌筑：</t>
  </si>
  <si>
    <t xml:space="preserve"> YX7-20</t>
  </si>
  <si>
    <t>护坡、挡土墙砌筑 斜坡形 浆砌</t>
  </si>
  <si>
    <t>地形系数增加--特征段1--辅助工程（基础辅助）打桩，护坡、挡土墙及排洪沟砌筑，喷射混凝土护坡</t>
  </si>
  <si>
    <t>6.5</t>
  </si>
  <si>
    <t>杆塔上装的各类辅助生产装置</t>
  </si>
  <si>
    <t>杆塔标志牌安装：</t>
  </si>
  <si>
    <t xml:space="preserve"> YX7-27</t>
  </si>
  <si>
    <t>杆塔标志牌安装</t>
  </si>
  <si>
    <t>防鸟装置安装：</t>
  </si>
  <si>
    <t xml:space="preserve"> YX7-28</t>
  </si>
  <si>
    <t>防鸟刺安装</t>
  </si>
  <si>
    <t>监测装置安装调测：</t>
  </si>
  <si>
    <t xml:space="preserve"> YX7-42</t>
  </si>
  <si>
    <t>监测装置安装调测 蓄电池</t>
  </si>
  <si>
    <t>套</t>
  </si>
  <si>
    <t xml:space="preserve"> YX7-44</t>
  </si>
  <si>
    <t>监测装置安装调测 太阳能板</t>
  </si>
  <si>
    <t>m²</t>
  </si>
  <si>
    <t xml:space="preserve"> YX7-46</t>
  </si>
  <si>
    <t>监测装置安装调测 数据采集器 杆塔</t>
  </si>
  <si>
    <t xml:space="preserve"> YX7-48</t>
  </si>
  <si>
    <t>监测装置安装调测 系统联调</t>
  </si>
  <si>
    <t>其他：</t>
  </si>
  <si>
    <t xml:space="preserve"> YL4-59</t>
  </si>
  <si>
    <t>氧化锌式避雷器安装 110kV</t>
  </si>
  <si>
    <t>组/三相</t>
  </si>
  <si>
    <t>地形系数增加--特征段1--辅助工程（杆塔辅助）杆塔标志牌，防鸟装置，防坠落装置，避雷器安装，监测装置安装调测</t>
  </si>
  <si>
    <t>普通设备运杂费：</t>
  </si>
  <si>
    <t>乙供设备税金</t>
  </si>
  <si>
    <t>乙供设备费小计：</t>
  </si>
  <si>
    <t>6.6</t>
  </si>
  <si>
    <t>输、送电线路试运</t>
  </si>
  <si>
    <t>输电线路试运：</t>
  </si>
  <si>
    <t>调 YX7-127*0.7</t>
  </si>
  <si>
    <t>输电线路试运 110kV</t>
  </si>
  <si>
    <t>回</t>
  </si>
  <si>
    <t xml:space="preserve"> YX7-127</t>
  </si>
  <si>
    <t>架空线路单位工程预算表（余物清理工程）</t>
  </si>
  <si>
    <t>装置性材料</t>
  </si>
  <si>
    <t>安装工程</t>
  </si>
  <si>
    <t>输电线路及通信线路</t>
  </si>
  <si>
    <t>2.3.2</t>
  </si>
  <si>
    <t>(2)拆除后不能利用</t>
  </si>
  <si>
    <t xml:space="preserve"> YX4-8</t>
  </si>
  <si>
    <t>混凝土杆组立 双杆 分段式 每基重量6.0t以内</t>
  </si>
  <si>
    <t xml:space="preserve"> YX5-44</t>
  </si>
  <si>
    <t>张力放、紧线 交流线路 导线 2×300mm²以内</t>
  </si>
  <si>
    <t xml:space="preserve"> YX6-5</t>
  </si>
  <si>
    <t>耐张转角杆塔导线挂线及绝缘子串安装 220kV 双分裂</t>
  </si>
  <si>
    <t xml:space="preserve"> YX1-13</t>
  </si>
  <si>
    <t>人力运输 线材 每件重700kg以内</t>
  </si>
  <si>
    <t xml:space="preserve"> YX1-84</t>
  </si>
  <si>
    <t>汽车运输 线材 每件重700kg以内 运输</t>
  </si>
  <si>
    <t xml:space="preserve"> YX1-85</t>
  </si>
  <si>
    <t>汽车运输 线材 每件重1000kg以内 装卸</t>
  </si>
  <si>
    <t>余物清理费：</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</si>
</sst>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 numFmtId="178" formatCode="0.000_ "/>
    <numFmt numFmtId="179" formatCode="0;_ÿ"/>
    <numFmt numFmtId="180" formatCode="0;_룿"/>
    <numFmt numFmtId="181" formatCode="_ * #,##0_ ;_ * \-#,##0_ ;_ * &quot;-&quot;??_ ;_ @_ "/>
    <numFmt numFmtId="182" formatCode="0.000%"/>
  </numFmts>
  <fonts count="104">
    <font>
      <sz val="11"/>
      <color theme="1"/>
      <name val="宋体"/>
      <charset val="134"/>
      <scheme val="minor"/>
    </font>
    <font>
      <sz val="11"/>
      <name val="Calibri"/>
      <charset val="134"/>
    </font>
    <font>
      <b/>
      <sz val="22"/>
      <color rgb="FF000000"/>
      <name val="宋体"/>
      <charset val="134"/>
    </font>
    <font>
      <sz val="11"/>
      <color rgb="FF000000"/>
      <name val="宋体"/>
      <charset val="134"/>
    </font>
    <font>
      <sz val="11"/>
      <name val="宋体"/>
      <charset val="134"/>
    </font>
    <font>
      <b/>
      <sz val="15"/>
      <color rgb="FF000000"/>
      <name val="宋体"/>
      <charset val="134"/>
    </font>
    <font>
      <sz val="10"/>
      <color rgb="FF000000"/>
      <name val="宋体"/>
      <charset val="134"/>
    </font>
    <font>
      <sz val="10"/>
      <name val="Calibri"/>
      <charset val="134"/>
    </font>
    <font>
      <b/>
      <sz val="14"/>
      <name val="宋体"/>
      <charset val="134"/>
    </font>
    <font>
      <sz val="9"/>
      <name val="宋体"/>
      <charset val="134"/>
    </font>
    <font>
      <b/>
      <sz val="10.5"/>
      <color rgb="FF000000"/>
      <name val="宋体"/>
      <charset val="134"/>
    </font>
    <font>
      <b/>
      <sz val="10.5"/>
      <color theme="1"/>
      <name val="仿宋_GB2312"/>
      <charset val="134"/>
    </font>
    <font>
      <sz val="10.5"/>
      <color theme="1"/>
      <name val="Times New Roman"/>
      <charset val="134"/>
    </font>
    <font>
      <sz val="10.5"/>
      <color theme="1"/>
      <name val="仿宋_GB2312"/>
      <charset val="134"/>
    </font>
    <font>
      <sz val="10.5"/>
      <color theme="1"/>
      <name val="宋体"/>
      <charset val="134"/>
    </font>
    <font>
      <sz val="12"/>
      <name val="宋体"/>
      <charset val="134"/>
    </font>
    <font>
      <b/>
      <sz val="12"/>
      <name val="宋体"/>
      <charset val="134"/>
    </font>
    <font>
      <b/>
      <sz val="10"/>
      <name val="宋体"/>
      <charset val="134"/>
    </font>
    <font>
      <sz val="14"/>
      <name val="宋体"/>
      <charset val="134"/>
    </font>
    <font>
      <sz val="10"/>
      <name val="宋体"/>
      <charset val="134"/>
    </font>
    <font>
      <b/>
      <sz val="9"/>
      <name val="宋体"/>
      <charset val="134"/>
    </font>
    <font>
      <sz val="11"/>
      <color indexed="8"/>
      <name val="宋体"/>
      <charset val="134"/>
    </font>
    <font>
      <b/>
      <sz val="11"/>
      <name val="宋体"/>
      <charset val="134"/>
    </font>
    <font>
      <b/>
      <sz val="8"/>
      <name val="宋体"/>
      <charset val="134"/>
    </font>
    <font>
      <b/>
      <sz val="11"/>
      <color indexed="8"/>
      <name val="宋体"/>
      <charset val="134"/>
    </font>
    <font>
      <sz val="8"/>
      <name val="宋体"/>
      <charset val="134"/>
    </font>
    <font>
      <sz val="9"/>
      <name val="Arial"/>
      <charset val="134"/>
    </font>
    <font>
      <sz val="9"/>
      <name val="Calibri"/>
      <charset val="134"/>
    </font>
    <font>
      <b/>
      <sz val="16"/>
      <name val="宋体"/>
      <charset val="134"/>
    </font>
    <font>
      <u/>
      <sz val="11"/>
      <color indexed="8"/>
      <name val="宋体"/>
      <charset val="134"/>
    </font>
    <font>
      <b/>
      <sz val="8"/>
      <color indexed="8"/>
      <name val="宋体"/>
      <charset val="134"/>
    </font>
    <font>
      <sz val="9"/>
      <color indexed="8"/>
      <name val="宋体"/>
      <charset val="134"/>
    </font>
    <font>
      <sz val="8"/>
      <color indexed="8"/>
      <name val="宋体"/>
      <charset val="134"/>
    </font>
    <font>
      <b/>
      <sz val="9"/>
      <color indexed="8"/>
      <name val="宋体"/>
      <charset val="134"/>
    </font>
    <font>
      <b/>
      <sz val="8"/>
      <color rgb="FFFF0000"/>
      <name val="宋体"/>
      <charset val="134"/>
    </font>
    <font>
      <sz val="10"/>
      <name val="Times New Roman"/>
      <charset val="134"/>
    </font>
    <font>
      <sz val="10"/>
      <color indexed="36"/>
      <name val="宋体"/>
      <charset val="134"/>
    </font>
    <font>
      <sz val="10"/>
      <color indexed="36"/>
      <name val="Times New Roman"/>
      <charset val="134"/>
    </font>
    <font>
      <sz val="10"/>
      <color indexed="10"/>
      <name val="宋体"/>
      <charset val="134"/>
    </font>
    <font>
      <sz val="10"/>
      <color indexed="10"/>
      <name val="Times New Roman"/>
      <charset val="134"/>
    </font>
    <font>
      <sz val="9"/>
      <color indexed="36"/>
      <name val="宋体"/>
      <charset val="134"/>
    </font>
    <font>
      <sz val="11"/>
      <name val="Arial"/>
      <charset val="134"/>
    </font>
    <font>
      <u/>
      <sz val="11"/>
      <color rgb="FF000000"/>
      <name val="宋体"/>
      <charset val="134"/>
    </font>
    <font>
      <b/>
      <sz val="12"/>
      <color theme="1"/>
      <name val="宋体"/>
      <charset val="134"/>
      <scheme val="minor"/>
    </font>
    <font>
      <sz val="18"/>
      <color rgb="FF000000"/>
      <name val="宋体"/>
      <charset val="134"/>
    </font>
    <font>
      <b/>
      <u/>
      <sz val="12"/>
      <color theme="1"/>
      <name val="宋体"/>
      <charset val="134"/>
    </font>
    <font>
      <sz val="12"/>
      <color rgb="FF000000"/>
      <name val="宋体"/>
      <charset val="134"/>
    </font>
    <font>
      <sz val="12"/>
      <color rgb="FFFF0000"/>
      <name val="宋体"/>
      <charset val="134"/>
    </font>
    <font>
      <sz val="16"/>
      <color theme="1"/>
      <name val="仿宋_GB2312"/>
      <charset val="134"/>
    </font>
    <font>
      <b/>
      <sz val="11"/>
      <color theme="1"/>
      <name val="宋体"/>
      <charset val="134"/>
      <scheme val="minor"/>
    </font>
    <font>
      <b/>
      <sz val="12"/>
      <color rgb="FF000000"/>
      <name val="宋体"/>
      <charset val="134"/>
    </font>
    <font>
      <b/>
      <sz val="15"/>
      <color theme="1"/>
      <name val="仿宋_GB2312"/>
      <charset val="134"/>
    </font>
    <font>
      <sz val="11"/>
      <color theme="1"/>
      <name val="仿宋_GB2312"/>
      <charset val="134"/>
    </font>
    <font>
      <b/>
      <sz val="12"/>
      <color theme="1"/>
      <name val="仿宋_GB2312"/>
      <charset val="134"/>
    </font>
    <font>
      <b/>
      <sz val="10"/>
      <color theme="1"/>
      <name val="仿宋_GB2312"/>
      <charset val="134"/>
    </font>
    <font>
      <b/>
      <sz val="10"/>
      <color theme="1"/>
      <name val="宋体"/>
      <charset val="134"/>
      <scheme val="minor"/>
    </font>
    <font>
      <sz val="10"/>
      <color theme="1"/>
      <name val="仿宋_GB2312"/>
      <charset val="134"/>
    </font>
    <font>
      <sz val="10"/>
      <color rgb="FFFF0000"/>
      <name val="宋体"/>
      <charset val="134"/>
      <scheme val="minor"/>
    </font>
    <font>
      <sz val="10"/>
      <color theme="1"/>
      <name val="宋体"/>
      <charset val="134"/>
      <scheme val="minor"/>
    </font>
    <font>
      <b/>
      <sz val="24"/>
      <name val="仿宋_GB2312"/>
      <charset val="134"/>
    </font>
    <font>
      <b/>
      <sz val="24"/>
      <color theme="1"/>
      <name val="仿宋_GB2312"/>
      <charset val="134"/>
    </font>
    <font>
      <sz val="14"/>
      <color rgb="FF000000"/>
      <name val="宋体"/>
      <charset val="134"/>
      <scheme val="minor"/>
    </font>
    <font>
      <sz val="14"/>
      <color rgb="FF000000"/>
      <name val="仿宋_GB2312"/>
      <charset val="134"/>
    </font>
    <font>
      <b/>
      <sz val="16"/>
      <color rgb="FF000000"/>
      <name val="仿宋_GB2312"/>
      <charset val="134"/>
    </font>
    <font>
      <b/>
      <u/>
      <sz val="18"/>
      <color rgb="FF0066CC"/>
      <name val="方正仿宋_GBK"/>
      <charset val="134"/>
    </font>
    <font>
      <b/>
      <sz val="16"/>
      <color rgb="FF000000"/>
      <name val="宋体"/>
      <charset val="134"/>
      <scheme val="minor"/>
    </font>
    <font>
      <b/>
      <sz val="18"/>
      <color rgb="FF000000"/>
      <name val="仿宋_GB2312"/>
      <charset val="134"/>
    </font>
    <font>
      <b/>
      <sz val="20"/>
      <color rgb="FF000000"/>
      <name val="仿宋_GB2312"/>
      <charset val="134"/>
    </font>
    <font>
      <sz val="20"/>
      <color rgb="FF000000"/>
      <name val="仿宋_GB2312"/>
      <charset val="134"/>
    </font>
    <font>
      <sz val="20"/>
      <name val="仿宋_GB2312"/>
      <charset val="134"/>
    </font>
    <font>
      <b/>
      <sz val="20"/>
      <name val="仿宋_GB2312"/>
      <charset val="134"/>
    </font>
    <font>
      <sz val="16"/>
      <color rgb="FF000000"/>
      <name val="仿宋_GB2312"/>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0"/>
      <color theme="1"/>
      <name val="宋体"/>
      <charset val="134"/>
    </font>
    <font>
      <u/>
      <sz val="11"/>
      <name val="Calibri"/>
      <charset val="134"/>
    </font>
    <font>
      <sz val="20"/>
      <color rgb="FF000000"/>
      <name val="宋体"/>
      <charset val="134"/>
    </font>
    <font>
      <b/>
      <sz val="10"/>
      <color theme="1"/>
      <name val="宋体"/>
      <charset val="134"/>
    </font>
    <font>
      <b/>
      <sz val="24"/>
      <color rgb="FFFF0000"/>
      <name val="仿宋_GB2312"/>
      <charset val="134"/>
    </font>
    <font>
      <u/>
      <sz val="11"/>
      <name val="宋体"/>
      <charset val="134"/>
    </font>
    <font>
      <b/>
      <u/>
      <sz val="11"/>
      <color rgb="FFFF0000"/>
      <name val="宋体"/>
      <charset val="134"/>
    </font>
    <font>
      <b/>
      <u/>
      <sz val="9"/>
      <color rgb="FFFF0000"/>
      <name val="宋体"/>
      <charset val="134"/>
    </font>
    <font>
      <b/>
      <sz val="8"/>
      <color rgb="FF000000"/>
      <name val="宋体"/>
      <charset val="134"/>
    </font>
    <font>
      <sz val="20"/>
      <color theme="1"/>
      <name val="仿宋_GB2312"/>
      <charset val="134"/>
    </font>
    <font>
      <b/>
      <sz val="11"/>
      <color rgb="FFFF0000"/>
      <name val="宋体"/>
      <charset val="134"/>
    </font>
    <font>
      <b/>
      <sz val="11"/>
      <color rgb="FFFF0000"/>
      <name val="Calibri"/>
      <charset val="134"/>
    </font>
  </fonts>
  <fills count="40">
    <fill>
      <patternFill patternType="none"/>
    </fill>
    <fill>
      <patternFill patternType="gray125"/>
    </fill>
    <fill>
      <patternFill patternType="solid">
        <fgColor rgb="FFFFFFFF"/>
        <bgColor indexed="64"/>
      </patternFill>
    </fill>
    <fill>
      <patternFill patternType="solid">
        <fgColor theme="7" tint="0.799920651875362"/>
        <bgColor indexed="64"/>
      </patternFill>
    </fill>
    <fill>
      <patternFill patternType="solid">
        <fgColor rgb="FFFFFF00"/>
        <bgColor indexed="64"/>
      </patternFill>
    </fill>
    <fill>
      <patternFill patternType="solid">
        <fgColor theme="3" tint="0.599993896298105"/>
        <bgColor indexed="64"/>
      </patternFill>
    </fill>
    <fill>
      <patternFill patternType="solid">
        <fgColor theme="0" tint="-0.149998474074526"/>
        <bgColor indexed="64"/>
      </patternFill>
    </fill>
    <fill>
      <patternFill patternType="solid">
        <fgColor rgb="FFBFBFBF"/>
        <bgColor indexed="64"/>
      </patternFill>
    </fill>
    <fill>
      <patternFill patternType="solid">
        <fgColor rgb="FFD9E1F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diagonalDown="1">
      <left style="thin">
        <color auto="1"/>
      </left>
      <right style="thin">
        <color auto="1"/>
      </right>
      <top style="thin">
        <color auto="1"/>
      </top>
      <bottom style="thin">
        <color auto="1"/>
      </bottom>
      <diagonal style="thin">
        <color auto="1"/>
      </diagonal>
    </border>
    <border>
      <left style="thin">
        <color auto="1"/>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top style="thin">
        <color indexed="14"/>
      </top>
      <bottom style="thin">
        <color indexed="14"/>
      </bottom>
      <diagonal/>
    </border>
    <border>
      <left style="thin">
        <color indexed="18"/>
      </left>
      <right style="thin">
        <color indexed="18"/>
      </right>
      <top style="thin">
        <color indexed="18"/>
      </top>
      <bottom style="thin">
        <color indexed="18"/>
      </bottom>
      <diagonal/>
    </border>
    <border>
      <left/>
      <right/>
      <top/>
      <bottom style="thin">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auto="1"/>
      </right>
      <top/>
      <bottom style="medium">
        <color auto="1"/>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style="medium">
        <color auto="1"/>
      </bottom>
      <diagonal/>
    </border>
    <border>
      <left style="thin">
        <color auto="1"/>
      </left>
      <right/>
      <top/>
      <bottom style="medium">
        <color auto="1"/>
      </bottom>
      <diagonal/>
    </border>
    <border>
      <left style="medium">
        <color auto="1"/>
      </left>
      <right style="thick">
        <color rgb="FF000000"/>
      </right>
      <top style="thick">
        <color rgb="FF000000"/>
      </top>
      <bottom/>
      <diagonal/>
    </border>
    <border>
      <left style="thick">
        <color rgb="FF000000"/>
      </left>
      <right style="thick">
        <color rgb="FF000000"/>
      </right>
      <top style="thick">
        <color rgb="FF000000"/>
      </top>
      <bottom style="medium">
        <color rgb="FF000000"/>
      </bottom>
      <diagonal/>
    </border>
    <border>
      <left style="medium">
        <color auto="1"/>
      </left>
      <right/>
      <top/>
      <bottom style="thin">
        <color auto="1"/>
      </bottom>
      <diagonal/>
    </border>
    <border>
      <left style="medium">
        <color auto="1"/>
      </left>
      <right/>
      <top style="medium">
        <color auto="1"/>
      </top>
      <bottom/>
      <diagonal/>
    </border>
    <border>
      <left/>
      <right style="medium">
        <color auto="1"/>
      </right>
      <top/>
      <bottom/>
      <diagonal/>
    </border>
    <border>
      <left style="medium">
        <color auto="1"/>
      </left>
      <right style="medium">
        <color rgb="FF000000"/>
      </right>
      <top style="thin">
        <color auto="1"/>
      </top>
      <bottom style="thin">
        <color auto="1"/>
      </bottom>
      <diagonal/>
    </border>
    <border>
      <left style="medium">
        <color auto="1"/>
      </left>
      <right/>
      <top style="thin">
        <color auto="1"/>
      </top>
      <bottom style="thin">
        <color auto="1"/>
      </bottom>
      <diagonal/>
    </border>
    <border>
      <left style="medium">
        <color auto="1"/>
      </left>
      <right/>
      <top/>
      <bottom/>
      <diagonal/>
    </border>
    <border>
      <left style="medium">
        <color auto="1"/>
      </left>
      <right style="medium">
        <color rgb="FF000000"/>
      </right>
      <top style="thin">
        <color auto="1"/>
      </top>
      <bottom style="medium">
        <color auto="1"/>
      </bottom>
      <diagonal/>
    </border>
    <border>
      <left/>
      <right/>
      <top/>
      <bottom style="medium">
        <color auto="1"/>
      </bottom>
      <diagonal/>
    </border>
    <border>
      <left style="thick">
        <color rgb="FF000000"/>
      </left>
      <right style="thick">
        <color rgb="FF000000"/>
      </right>
      <top/>
      <bottom style="thick">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0" fillId="9" borderId="46" applyNumberFormat="0" applyFont="0" applyAlignment="0" applyProtection="0">
      <alignment vertical="center"/>
    </xf>
    <xf numFmtId="0" fontId="74"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6" fillId="0" borderId="0" applyNumberFormat="0" applyFill="0" applyBorder="0" applyAlignment="0" applyProtection="0">
      <alignment vertical="center"/>
    </xf>
    <xf numFmtId="0" fontId="77" fillId="0" borderId="47" applyNumberFormat="0" applyFill="0" applyAlignment="0" applyProtection="0">
      <alignment vertical="center"/>
    </xf>
    <xf numFmtId="0" fontId="78" fillId="0" borderId="47" applyNumberFormat="0" applyFill="0" applyAlignment="0" applyProtection="0">
      <alignment vertical="center"/>
    </xf>
    <xf numFmtId="0" fontId="79" fillId="0" borderId="48" applyNumberFormat="0" applyFill="0" applyAlignment="0" applyProtection="0">
      <alignment vertical="center"/>
    </xf>
    <xf numFmtId="0" fontId="79" fillId="0" borderId="0" applyNumberFormat="0" applyFill="0" applyBorder="0" applyAlignment="0" applyProtection="0">
      <alignment vertical="center"/>
    </xf>
    <xf numFmtId="0" fontId="80" fillId="10" borderId="49" applyNumberFormat="0" applyAlignment="0" applyProtection="0">
      <alignment vertical="center"/>
    </xf>
    <xf numFmtId="0" fontId="81" fillId="11" borderId="50" applyNumberFormat="0" applyAlignment="0" applyProtection="0">
      <alignment vertical="center"/>
    </xf>
    <xf numFmtId="0" fontId="82" fillId="11" borderId="49" applyNumberFormat="0" applyAlignment="0" applyProtection="0">
      <alignment vertical="center"/>
    </xf>
    <xf numFmtId="0" fontId="83" fillId="12" borderId="51" applyNumberFormat="0" applyAlignment="0" applyProtection="0">
      <alignment vertical="center"/>
    </xf>
    <xf numFmtId="0" fontId="84" fillId="0" borderId="52" applyNumberFormat="0" applyFill="0" applyAlignment="0" applyProtection="0">
      <alignment vertical="center"/>
    </xf>
    <xf numFmtId="0" fontId="85" fillId="0" borderId="53" applyNumberFormat="0" applyFill="0" applyAlignment="0" applyProtection="0">
      <alignment vertical="center"/>
    </xf>
    <xf numFmtId="0" fontId="86" fillId="13" borderId="0" applyNumberFormat="0" applyBorder="0" applyAlignment="0" applyProtection="0">
      <alignment vertical="center"/>
    </xf>
    <xf numFmtId="0" fontId="87" fillId="14" borderId="0" applyNumberFormat="0" applyBorder="0" applyAlignment="0" applyProtection="0">
      <alignment vertical="center"/>
    </xf>
    <xf numFmtId="0" fontId="88" fillId="15" borderId="0" applyNumberFormat="0" applyBorder="0" applyAlignment="0" applyProtection="0">
      <alignment vertical="center"/>
    </xf>
    <xf numFmtId="0" fontId="89" fillId="16" borderId="0" applyNumberFormat="0" applyBorder="0" applyAlignment="0" applyProtection="0">
      <alignment vertical="center"/>
    </xf>
    <xf numFmtId="0" fontId="90" fillId="17" borderId="0" applyNumberFormat="0" applyBorder="0" applyAlignment="0" applyProtection="0">
      <alignment vertical="center"/>
    </xf>
    <xf numFmtId="0" fontId="90" fillId="18" borderId="0" applyNumberFormat="0" applyBorder="0" applyAlignment="0" applyProtection="0">
      <alignment vertical="center"/>
    </xf>
    <xf numFmtId="0" fontId="89" fillId="19" borderId="0" applyNumberFormat="0" applyBorder="0" applyAlignment="0" applyProtection="0">
      <alignment vertical="center"/>
    </xf>
    <xf numFmtId="0" fontId="89" fillId="20" borderId="0" applyNumberFormat="0" applyBorder="0" applyAlignment="0" applyProtection="0">
      <alignment vertical="center"/>
    </xf>
    <xf numFmtId="0" fontId="90" fillId="21" borderId="0" applyNumberFormat="0" applyBorder="0" applyAlignment="0" applyProtection="0">
      <alignment vertical="center"/>
    </xf>
    <xf numFmtId="0" fontId="90" fillId="22" borderId="0" applyNumberFormat="0" applyBorder="0" applyAlignment="0" applyProtection="0">
      <alignment vertical="center"/>
    </xf>
    <xf numFmtId="0" fontId="89" fillId="23" borderId="0" applyNumberFormat="0" applyBorder="0" applyAlignment="0" applyProtection="0">
      <alignment vertical="center"/>
    </xf>
    <xf numFmtId="0" fontId="89" fillId="24" borderId="0" applyNumberFormat="0" applyBorder="0" applyAlignment="0" applyProtection="0">
      <alignment vertical="center"/>
    </xf>
    <xf numFmtId="0" fontId="90" fillId="25" borderId="0" applyNumberFormat="0" applyBorder="0" applyAlignment="0" applyProtection="0">
      <alignment vertical="center"/>
    </xf>
    <xf numFmtId="0" fontId="90" fillId="26" borderId="0" applyNumberFormat="0" applyBorder="0" applyAlignment="0" applyProtection="0">
      <alignment vertical="center"/>
    </xf>
    <xf numFmtId="0" fontId="89" fillId="27" borderId="0" applyNumberFormat="0" applyBorder="0" applyAlignment="0" applyProtection="0">
      <alignment vertical="center"/>
    </xf>
    <xf numFmtId="0" fontId="89" fillId="28" borderId="0" applyNumberFormat="0" applyBorder="0" applyAlignment="0" applyProtection="0">
      <alignment vertical="center"/>
    </xf>
    <xf numFmtId="0" fontId="90" fillId="29" borderId="0" applyNumberFormat="0" applyBorder="0" applyAlignment="0" applyProtection="0">
      <alignment vertical="center"/>
    </xf>
    <xf numFmtId="0" fontId="90" fillId="30" borderId="0" applyNumberFormat="0" applyBorder="0" applyAlignment="0" applyProtection="0">
      <alignment vertical="center"/>
    </xf>
    <xf numFmtId="0" fontId="89" fillId="31" borderId="0" applyNumberFormat="0" applyBorder="0" applyAlignment="0" applyProtection="0">
      <alignment vertical="center"/>
    </xf>
    <xf numFmtId="0" fontId="89" fillId="32" borderId="0" applyNumberFormat="0" applyBorder="0" applyAlignment="0" applyProtection="0">
      <alignment vertical="center"/>
    </xf>
    <xf numFmtId="0" fontId="90" fillId="33" borderId="0" applyNumberFormat="0" applyBorder="0" applyAlignment="0" applyProtection="0">
      <alignment vertical="center"/>
    </xf>
    <xf numFmtId="0" fontId="90" fillId="34" borderId="0" applyNumberFormat="0" applyBorder="0" applyAlignment="0" applyProtection="0">
      <alignment vertical="center"/>
    </xf>
    <xf numFmtId="0" fontId="89" fillId="35" borderId="0" applyNumberFormat="0" applyBorder="0" applyAlignment="0" applyProtection="0">
      <alignment vertical="center"/>
    </xf>
    <xf numFmtId="0" fontId="89" fillId="36" borderId="0" applyNumberFormat="0" applyBorder="0" applyAlignment="0" applyProtection="0">
      <alignment vertical="center"/>
    </xf>
    <xf numFmtId="0" fontId="90" fillId="37" borderId="0" applyNumberFormat="0" applyBorder="0" applyAlignment="0" applyProtection="0">
      <alignment vertical="center"/>
    </xf>
    <xf numFmtId="0" fontId="90" fillId="38" borderId="0" applyNumberFormat="0" applyBorder="0" applyAlignment="0" applyProtection="0">
      <alignment vertical="center"/>
    </xf>
    <xf numFmtId="0" fontId="89" fillId="39" borderId="0" applyNumberFormat="0" applyBorder="0" applyAlignment="0" applyProtection="0">
      <alignment vertical="center"/>
    </xf>
    <xf numFmtId="0" fontId="91" fillId="0" borderId="0"/>
    <xf numFmtId="0" fontId="1" fillId="0" borderId="0"/>
  </cellStyleXfs>
  <cellXfs count="435">
    <xf numFmtId="0" fontId="0" fillId="0" borderId="0" xfId="0">
      <alignment vertical="center"/>
    </xf>
    <xf numFmtId="0" fontId="1" fillId="0" borderId="0" xfId="0" applyFont="1" applyFill="1" applyAlignment="1"/>
    <xf numFmtId="0" fontId="2" fillId="0" borderId="0" xfId="0" applyFont="1" applyFill="1" applyAlignment="1">
      <alignment horizontal="center" vertical="center" wrapText="1"/>
    </xf>
    <xf numFmtId="0" fontId="3" fillId="0" borderId="0" xfId="0" applyFont="1" applyFill="1" applyAlignment="1">
      <alignment horizontal="left" vertical="center"/>
    </xf>
    <xf numFmtId="0" fontId="3" fillId="0" borderId="0" xfId="0" applyFont="1" applyFill="1" applyAlignment="1">
      <alignment horizontal="right" vertical="center"/>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horizontal="right" vertical="center" shrinkToFit="1"/>
    </xf>
    <xf numFmtId="0" fontId="4" fillId="0" borderId="0" xfId="0" applyFont="1" applyFill="1" applyAlignment="1"/>
    <xf numFmtId="176" fontId="0" fillId="0" borderId="0" xfId="0" applyNumberFormat="1">
      <alignment vertical="center"/>
    </xf>
    <xf numFmtId="0" fontId="5" fillId="0" borderId="0" xfId="0" applyFont="1" applyFill="1" applyAlignment="1">
      <alignment horizontal="center" vertical="center" wrapText="1"/>
    </xf>
    <xf numFmtId="176" fontId="5" fillId="0" borderId="0" xfId="0" applyNumberFormat="1" applyFont="1" applyFill="1" applyAlignment="1">
      <alignment horizontal="center" vertical="center" wrapText="1"/>
    </xf>
    <xf numFmtId="0" fontId="6" fillId="0" borderId="0" xfId="0" applyFont="1" applyFill="1" applyAlignment="1">
      <alignment horizontal="left" vertical="center"/>
    </xf>
    <xf numFmtId="0" fontId="7" fillId="0" borderId="0" xfId="0" applyFont="1" applyFill="1" applyAlignment="1">
      <alignment horizontal="center"/>
    </xf>
    <xf numFmtId="176" fontId="7" fillId="0" borderId="0" xfId="0" applyNumberFormat="1" applyFont="1" applyFill="1" applyAlignment="1">
      <alignment horizontal="center"/>
    </xf>
    <xf numFmtId="0" fontId="6" fillId="0" borderId="0" xfId="0" applyFont="1" applyFill="1" applyAlignment="1">
      <alignment horizontal="center" vertical="center"/>
    </xf>
    <xf numFmtId="0" fontId="6" fillId="0" borderId="1" xfId="0" applyFont="1" applyFill="1" applyBorder="1" applyAlignment="1">
      <alignment horizontal="center" vertical="center" wrapText="1"/>
    </xf>
    <xf numFmtId="176" fontId="6" fillId="0" borderId="1" xfId="0" applyNumberFormat="1" applyFont="1" applyFill="1" applyBorder="1" applyAlignment="1">
      <alignment horizontal="center" vertical="center" wrapText="1"/>
    </xf>
    <xf numFmtId="0" fontId="6" fillId="0" borderId="1" xfId="0" applyFont="1" applyFill="1" applyBorder="1" applyAlignment="1">
      <alignment horizontal="left" vertical="center" wrapText="1"/>
    </xf>
    <xf numFmtId="0" fontId="6" fillId="0" borderId="1" xfId="0" applyNumberFormat="1" applyFont="1" applyFill="1" applyBorder="1" applyAlignment="1">
      <alignment horizontal="center" vertical="center" shrinkToFit="1"/>
    </xf>
    <xf numFmtId="176" fontId="6" fillId="0" borderId="1" xfId="0" applyNumberFormat="1" applyFont="1" applyFill="1" applyBorder="1" applyAlignment="1">
      <alignment horizontal="center" vertical="center" shrinkToFit="1"/>
    </xf>
    <xf numFmtId="0" fontId="6" fillId="0" borderId="1" xfId="0" applyFont="1" applyFill="1" applyBorder="1" applyAlignment="1">
      <alignment horizontal="center" vertical="center" shrinkToFit="1"/>
    </xf>
    <xf numFmtId="0" fontId="8" fillId="0" borderId="0" xfId="0" applyFont="1" applyFill="1" applyAlignment="1">
      <alignment horizontal="center" vertical="center"/>
    </xf>
    <xf numFmtId="49" fontId="8" fillId="0" borderId="0" xfId="0" applyNumberFormat="1" applyFont="1" applyFill="1" applyAlignment="1">
      <alignment horizontal="center" vertical="center" wrapText="1"/>
    </xf>
    <xf numFmtId="0" fontId="9" fillId="0" borderId="2" xfId="0" applyFont="1" applyFill="1" applyBorder="1" applyAlignment="1">
      <alignment vertical="center"/>
    </xf>
    <xf numFmtId="0" fontId="9" fillId="0" borderId="2" xfId="0" applyFont="1" applyFill="1" applyBorder="1" applyAlignment="1">
      <alignment horizontal="center" vertical="center"/>
    </xf>
    <xf numFmtId="0" fontId="9" fillId="0" borderId="0" xfId="49" applyFont="1" applyFill="1" applyBorder="1" applyAlignment="1">
      <alignment horizontal="left" vertical="center"/>
    </xf>
    <xf numFmtId="0" fontId="10"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12" fillId="0" borderId="1" xfId="0" applyFont="1" applyBorder="1" applyAlignment="1">
      <alignment horizontal="justify" vertical="center" wrapText="1"/>
    </xf>
    <xf numFmtId="0" fontId="0" fillId="0" borderId="1" xfId="0" applyBorder="1" applyAlignment="1">
      <alignment horizontal="center" vertical="center"/>
    </xf>
    <xf numFmtId="0" fontId="0" fillId="0" borderId="1" xfId="0" applyBorder="1">
      <alignment vertical="center"/>
    </xf>
    <xf numFmtId="0" fontId="8" fillId="0" borderId="0" xfId="0"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3" borderId="4" xfId="49" applyFont="1" applyFill="1" applyBorder="1" applyAlignment="1">
      <alignment horizontal="center" vertical="center" wrapText="1"/>
    </xf>
    <xf numFmtId="0" fontId="15" fillId="3" borderId="5" xfId="49" applyFont="1" applyFill="1" applyBorder="1" applyAlignment="1">
      <alignment horizontal="center" vertical="center" wrapText="1"/>
    </xf>
    <xf numFmtId="0" fontId="15" fillId="3" borderId="6" xfId="49" applyFont="1" applyFill="1" applyBorder="1" applyAlignment="1">
      <alignment horizontal="center" vertical="center" wrapText="1"/>
    </xf>
    <xf numFmtId="0" fontId="15" fillId="0" borderId="1" xfId="49" applyFont="1" applyFill="1" applyBorder="1" applyAlignment="1">
      <alignment horizontal="center" vertical="center" wrapText="1"/>
    </xf>
    <xf numFmtId="0" fontId="15" fillId="0" borderId="7" xfId="0" applyFont="1" applyFill="1" applyBorder="1" applyAlignment="1">
      <alignment horizontal="center" vertical="center" wrapText="1"/>
    </xf>
    <xf numFmtId="0" fontId="15" fillId="3" borderId="1" xfId="49" applyFont="1" applyFill="1" applyBorder="1" applyAlignment="1">
      <alignment horizontal="center" vertical="center" wrapText="1"/>
    </xf>
    <xf numFmtId="0" fontId="15" fillId="0" borderId="4" xfId="0" applyFont="1" applyFill="1" applyBorder="1" applyAlignment="1">
      <alignment horizontal="center" vertical="center" wrapText="1"/>
    </xf>
    <xf numFmtId="177" fontId="15" fillId="0" borderId="1" xfId="0" applyNumberFormat="1" applyFont="1" applyFill="1" applyBorder="1" applyAlignment="1">
      <alignment horizontal="center" vertical="center" shrinkToFit="1"/>
    </xf>
    <xf numFmtId="178" fontId="15" fillId="0" borderId="8" xfId="0" applyNumberFormat="1" applyFont="1" applyFill="1" applyBorder="1" applyAlignment="1">
      <alignment horizontal="center" vertical="center" wrapText="1" shrinkToFit="1"/>
    </xf>
    <xf numFmtId="178" fontId="15" fillId="0" borderId="1" xfId="0" applyNumberFormat="1" applyFont="1" applyFill="1" applyBorder="1" applyAlignment="1">
      <alignment horizontal="center" vertical="center" wrapText="1" shrinkToFit="1"/>
    </xf>
    <xf numFmtId="0" fontId="8" fillId="0" borderId="0" xfId="0" applyFont="1" applyFill="1" applyAlignment="1">
      <alignment horizontal="right" vertical="center" wrapText="1"/>
    </xf>
    <xf numFmtId="49" fontId="8" fillId="0" borderId="0" xfId="0" applyNumberFormat="1" applyFont="1" applyFill="1" applyAlignment="1">
      <alignment horizontal="left" vertical="center" wrapText="1"/>
    </xf>
    <xf numFmtId="0" fontId="16" fillId="0" borderId="1"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9" xfId="0" applyFont="1" applyFill="1" applyBorder="1" applyAlignment="1">
      <alignment horizontal="center" vertical="center" wrapText="1"/>
    </xf>
    <xf numFmtId="0" fontId="16" fillId="0" borderId="10" xfId="0" applyFont="1" applyFill="1" applyBorder="1" applyAlignment="1">
      <alignment horizontal="center" vertical="center" wrapText="1"/>
    </xf>
    <xf numFmtId="0" fontId="16" fillId="3" borderId="4" xfId="49" applyFont="1" applyFill="1" applyBorder="1" applyAlignment="1">
      <alignment horizontal="center" vertical="center" wrapText="1"/>
    </xf>
    <xf numFmtId="0" fontId="16" fillId="3" borderId="5" xfId="49" applyFont="1" applyFill="1" applyBorder="1" applyAlignment="1">
      <alignment horizontal="center" vertical="center" wrapText="1"/>
    </xf>
    <xf numFmtId="0" fontId="16" fillId="3" borderId="6" xfId="49" applyFont="1" applyFill="1" applyBorder="1" applyAlignment="1">
      <alignment horizontal="center" vertical="center" wrapText="1"/>
    </xf>
    <xf numFmtId="0" fontId="16" fillId="0" borderId="1" xfId="49" applyFont="1" applyFill="1" applyBorder="1" applyAlignment="1">
      <alignment horizontal="center" vertical="center" wrapText="1"/>
    </xf>
    <xf numFmtId="0" fontId="16" fillId="0" borderId="7"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16" fillId="0" borderId="8" xfId="0" applyFont="1" applyFill="1" applyBorder="1" applyAlignment="1">
      <alignment horizontal="center" vertical="center" wrapText="1"/>
    </xf>
    <xf numFmtId="0" fontId="16" fillId="3" borderId="1" xfId="49" applyFont="1" applyFill="1" applyBorder="1" applyAlignment="1">
      <alignment horizontal="center" vertical="center" wrapText="1"/>
    </xf>
    <xf numFmtId="0" fontId="16" fillId="0" borderId="4"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16" fillId="0" borderId="6" xfId="0" applyFont="1" applyFill="1" applyBorder="1" applyAlignment="1">
      <alignment horizontal="center" vertical="center" wrapText="1"/>
    </xf>
    <xf numFmtId="177" fontId="16" fillId="0" borderId="1" xfId="0" applyNumberFormat="1" applyFont="1" applyFill="1" applyBorder="1" applyAlignment="1">
      <alignment horizontal="center" vertical="center" shrinkToFit="1"/>
    </xf>
    <xf numFmtId="178" fontId="16" fillId="0" borderId="8" xfId="0" applyNumberFormat="1" applyFont="1" applyFill="1" applyBorder="1" applyAlignment="1">
      <alignment horizontal="justify" vertical="center" wrapText="1" shrinkToFit="1"/>
    </xf>
    <xf numFmtId="178" fontId="16" fillId="0" borderId="8" xfId="0" applyNumberFormat="1" applyFont="1" applyFill="1" applyBorder="1" applyAlignment="1">
      <alignment horizontal="center" vertical="center" wrapText="1" shrinkToFit="1"/>
    </xf>
    <xf numFmtId="177" fontId="17" fillId="0" borderId="4" xfId="0" applyNumberFormat="1" applyFont="1" applyFill="1" applyBorder="1" applyAlignment="1">
      <alignment horizontal="center" vertical="center" shrinkToFit="1"/>
    </xf>
    <xf numFmtId="177" fontId="17" fillId="0" borderId="5" xfId="0" applyNumberFormat="1" applyFont="1" applyFill="1" applyBorder="1" applyAlignment="1">
      <alignment horizontal="center" vertical="center" shrinkToFit="1"/>
    </xf>
    <xf numFmtId="177" fontId="17" fillId="0" borderId="6" xfId="0" applyNumberFormat="1" applyFont="1" applyFill="1" applyBorder="1" applyAlignment="1">
      <alignment horizontal="center" vertical="center" shrinkToFit="1"/>
    </xf>
    <xf numFmtId="0" fontId="18" fillId="0" borderId="0" xfId="0" applyFont="1" applyFill="1" applyAlignment="1">
      <alignment horizontal="center" vertical="center" wrapText="1"/>
    </xf>
    <xf numFmtId="49" fontId="18" fillId="0" borderId="0" xfId="0" applyNumberFormat="1" applyFont="1" applyFill="1" applyAlignment="1">
      <alignment vertical="center" wrapText="1"/>
    </xf>
    <xf numFmtId="0" fontId="19" fillId="0" borderId="0" xfId="49" applyFont="1" applyFill="1" applyBorder="1" applyAlignment="1">
      <alignment horizontal="left" vertical="center"/>
    </xf>
    <xf numFmtId="178" fontId="15" fillId="0" borderId="1" xfId="0" applyNumberFormat="1" applyFont="1" applyFill="1" applyBorder="1" applyAlignment="1">
      <alignment horizontal="left" vertical="center" wrapText="1" shrinkToFit="1"/>
    </xf>
    <xf numFmtId="177" fontId="19" fillId="0" borderId="6" xfId="0" applyNumberFormat="1" applyFont="1" applyFill="1" applyBorder="1" applyAlignment="1">
      <alignment horizontal="center" vertical="center" shrinkToFit="1"/>
    </xf>
    <xf numFmtId="178" fontId="19" fillId="0" borderId="8" xfId="0" applyNumberFormat="1" applyFont="1" applyFill="1" applyBorder="1" applyAlignment="1">
      <alignment horizontal="center" vertical="center" wrapText="1" shrinkToFit="1"/>
    </xf>
    <xf numFmtId="177" fontId="15" fillId="0" borderId="1" xfId="0" applyNumberFormat="1" applyFont="1" applyFill="1" applyBorder="1" applyAlignment="1">
      <alignment horizontal="center" vertical="center" wrapText="1" shrinkToFit="1"/>
    </xf>
    <xf numFmtId="0" fontId="15" fillId="0" borderId="1" xfId="0" applyNumberFormat="1" applyFont="1" applyFill="1" applyBorder="1" applyAlignment="1">
      <alignment horizontal="center" vertical="center" shrinkToFit="1"/>
    </xf>
    <xf numFmtId="177" fontId="19" fillId="0" borderId="1" xfId="0" applyNumberFormat="1" applyFont="1" applyFill="1" applyBorder="1" applyAlignment="1">
      <alignment horizontal="center" vertical="center" shrinkToFit="1"/>
    </xf>
    <xf numFmtId="0" fontId="16" fillId="0" borderId="4" xfId="0" applyFont="1" applyFill="1" applyBorder="1" applyAlignment="1">
      <alignment horizontal="center" vertical="center"/>
    </xf>
    <xf numFmtId="0" fontId="16" fillId="0" borderId="5" xfId="0" applyFont="1" applyFill="1" applyBorder="1" applyAlignment="1">
      <alignment horizontal="center" vertical="center"/>
    </xf>
    <xf numFmtId="0" fontId="16" fillId="0" borderId="6" xfId="0" applyFont="1" applyFill="1" applyBorder="1" applyAlignment="1">
      <alignment horizontal="center" vertical="center"/>
    </xf>
    <xf numFmtId="177" fontId="15" fillId="0" borderId="1" xfId="0" applyNumberFormat="1" applyFont="1" applyFill="1" applyBorder="1" applyAlignment="1">
      <alignment horizontal="center" vertical="center" wrapText="1"/>
    </xf>
    <xf numFmtId="177" fontId="19" fillId="0" borderId="4" xfId="0" applyNumberFormat="1" applyFont="1" applyFill="1" applyBorder="1" applyAlignment="1">
      <alignment horizontal="center" vertical="center" shrinkToFit="1"/>
    </xf>
    <xf numFmtId="177" fontId="19" fillId="0" borderId="5" xfId="0" applyNumberFormat="1" applyFont="1" applyFill="1" applyBorder="1" applyAlignment="1">
      <alignment horizontal="center" vertical="center" shrinkToFit="1"/>
    </xf>
    <xf numFmtId="0" fontId="0" fillId="0" borderId="0" xfId="0" applyFont="1">
      <alignment vertical="center"/>
    </xf>
    <xf numFmtId="0" fontId="20" fillId="0" borderId="0" xfId="0" applyFont="1" applyFill="1" applyBorder="1" applyAlignment="1">
      <alignment horizontal="left" vertical="center"/>
    </xf>
    <xf numFmtId="0" fontId="9" fillId="0" borderId="0" xfId="0" applyFont="1" applyFill="1" applyAlignment="1">
      <alignment horizontal="left" vertical="center"/>
    </xf>
    <xf numFmtId="0" fontId="21" fillId="0" borderId="0" xfId="0" applyFont="1" applyFill="1" applyAlignment="1">
      <alignment vertical="center"/>
    </xf>
    <xf numFmtId="0" fontId="21" fillId="0" borderId="0" xfId="0" applyFont="1" applyFill="1" applyAlignment="1"/>
    <xf numFmtId="0" fontId="9" fillId="0" borderId="0" xfId="0" applyFont="1" applyFill="1" applyBorder="1" applyAlignment="1">
      <alignment horizontal="left" vertical="center"/>
    </xf>
    <xf numFmtId="0" fontId="9" fillId="0" borderId="0" xfId="0" applyFont="1" applyFill="1" applyBorder="1" applyAlignment="1">
      <alignment horizontal="center" vertical="center"/>
    </xf>
    <xf numFmtId="176" fontId="9" fillId="0" borderId="0" xfId="0" applyNumberFormat="1" applyFont="1" applyFill="1" applyBorder="1" applyAlignment="1">
      <alignment horizontal="left" vertical="center"/>
    </xf>
    <xf numFmtId="49" fontId="16" fillId="0" borderId="0" xfId="0" applyNumberFormat="1" applyFont="1" applyFill="1" applyAlignment="1">
      <alignment horizontal="left" vertical="center" wrapText="1"/>
    </xf>
    <xf numFmtId="176" fontId="16" fillId="0" borderId="0" xfId="0" applyNumberFormat="1" applyFont="1" applyFill="1" applyAlignment="1">
      <alignment horizontal="left" vertical="center" wrapText="1"/>
    </xf>
    <xf numFmtId="176" fontId="9" fillId="0" borderId="2" xfId="0" applyNumberFormat="1" applyFont="1" applyFill="1" applyBorder="1" applyAlignment="1">
      <alignment vertical="center"/>
    </xf>
    <xf numFmtId="0" fontId="20" fillId="0" borderId="1" xfId="0" applyFont="1" applyFill="1" applyBorder="1" applyAlignment="1">
      <alignment horizontal="center" vertical="center" wrapText="1"/>
    </xf>
    <xf numFmtId="0" fontId="20" fillId="0" borderId="4" xfId="0" applyFont="1" applyFill="1" applyBorder="1" applyAlignment="1">
      <alignment horizontal="center" vertical="center"/>
    </xf>
    <xf numFmtId="176" fontId="20" fillId="0" borderId="5" xfId="0" applyNumberFormat="1" applyFont="1" applyFill="1" applyBorder="1" applyAlignment="1">
      <alignment horizontal="center" vertical="center"/>
    </xf>
    <xf numFmtId="0" fontId="20" fillId="0" borderId="5" xfId="0" applyFont="1" applyFill="1" applyBorder="1" applyAlignment="1">
      <alignment horizontal="center" vertical="center"/>
    </xf>
    <xf numFmtId="0" fontId="20" fillId="0" borderId="6" xfId="0" applyFont="1" applyFill="1" applyBorder="1" applyAlignment="1">
      <alignment horizontal="center" vertical="center"/>
    </xf>
    <xf numFmtId="0" fontId="22" fillId="0" borderId="1" xfId="49" applyFont="1" applyFill="1" applyBorder="1" applyAlignment="1">
      <alignment horizontal="center" vertical="center" wrapText="1"/>
    </xf>
    <xf numFmtId="176" fontId="20" fillId="0" borderId="1" xfId="0" applyNumberFormat="1" applyFont="1" applyFill="1" applyBorder="1" applyAlignment="1">
      <alignment horizontal="center" vertical="center" wrapText="1"/>
    </xf>
    <xf numFmtId="0" fontId="23" fillId="3" borderId="1" xfId="49" applyFont="1" applyFill="1" applyBorder="1" applyAlignment="1">
      <alignment horizontal="center" vertical="center" wrapText="1"/>
    </xf>
    <xf numFmtId="0" fontId="20" fillId="0" borderId="1" xfId="49" applyFont="1" applyFill="1" applyBorder="1" applyAlignment="1">
      <alignment horizontal="center" vertical="center" wrapText="1"/>
    </xf>
    <xf numFmtId="0" fontId="9" fillId="0" borderId="1" xfId="0" applyFont="1" applyFill="1" applyBorder="1" applyAlignment="1">
      <alignment horizontal="center" vertical="center" wrapText="1"/>
    </xf>
    <xf numFmtId="176" fontId="9" fillId="0" borderId="1" xfId="0" applyNumberFormat="1" applyFont="1" applyFill="1" applyBorder="1" applyAlignment="1">
      <alignment horizontal="center" vertical="center" shrinkToFit="1"/>
    </xf>
    <xf numFmtId="176" fontId="9" fillId="0" borderId="1" xfId="49" applyNumberFormat="1" applyFont="1" applyFill="1" applyBorder="1" applyAlignment="1">
      <alignment horizontal="right" vertical="center" shrinkToFit="1"/>
    </xf>
    <xf numFmtId="176" fontId="20" fillId="0" borderId="1" xfId="49" applyNumberFormat="1" applyFont="1" applyFill="1" applyBorder="1" applyAlignment="1">
      <alignment vertical="center" shrinkToFit="1"/>
    </xf>
    <xf numFmtId="0" fontId="9" fillId="0" borderId="11" xfId="0" applyFont="1" applyFill="1" applyBorder="1" applyAlignment="1">
      <alignment horizontal="center" vertical="center" wrapText="1"/>
    </xf>
    <xf numFmtId="0" fontId="19" fillId="0" borderId="1" xfId="0" applyFont="1" applyFill="1" applyBorder="1" applyAlignment="1">
      <alignment horizontal="left" vertical="center" wrapText="1"/>
    </xf>
    <xf numFmtId="177" fontId="9" fillId="3" borderId="1" xfId="0" applyNumberFormat="1" applyFont="1" applyFill="1" applyBorder="1" applyAlignment="1">
      <alignment horizontal="center" vertical="center" shrinkToFit="1"/>
    </xf>
    <xf numFmtId="176" fontId="9" fillId="3" borderId="1" xfId="0" applyNumberFormat="1" applyFont="1" applyFill="1" applyBorder="1" applyAlignment="1">
      <alignment horizontal="center" vertical="center" shrinkToFit="1"/>
    </xf>
    <xf numFmtId="178" fontId="9" fillId="0" borderId="11" xfId="0" applyNumberFormat="1" applyFont="1" applyFill="1" applyBorder="1" applyAlignment="1">
      <alignment horizontal="justify" vertical="center" wrapText="1" shrinkToFit="1"/>
    </xf>
    <xf numFmtId="0" fontId="9" fillId="0" borderId="12" xfId="0" applyFont="1" applyFill="1" applyBorder="1" applyAlignment="1">
      <alignment horizontal="center" vertical="center" wrapText="1"/>
    </xf>
    <xf numFmtId="0" fontId="9" fillId="0" borderId="13" xfId="0" applyFont="1" applyFill="1" applyBorder="1" applyAlignment="1">
      <alignment horizontal="center" vertical="center" wrapText="1"/>
    </xf>
    <xf numFmtId="178" fontId="9" fillId="0" borderId="12" xfId="0" applyNumberFormat="1" applyFont="1" applyFill="1" applyBorder="1" applyAlignment="1">
      <alignment horizontal="justify" vertical="center" wrapText="1" shrinkToFit="1"/>
    </xf>
    <xf numFmtId="0" fontId="19"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178" fontId="9" fillId="0" borderId="1" xfId="0" applyNumberFormat="1" applyFont="1" applyFill="1" applyBorder="1" applyAlignment="1">
      <alignment horizontal="justify" vertical="center" wrapText="1" shrinkToFit="1"/>
    </xf>
    <xf numFmtId="178" fontId="9" fillId="0" borderId="8" xfId="0" applyNumberFormat="1" applyFont="1" applyFill="1" applyBorder="1" applyAlignment="1">
      <alignment horizontal="left" vertical="center" wrapText="1" shrinkToFit="1"/>
    </xf>
    <xf numFmtId="0" fontId="24" fillId="0" borderId="14" xfId="0" applyFont="1" applyFill="1" applyBorder="1" applyAlignment="1">
      <alignment horizontal="center" vertical="center"/>
    </xf>
    <xf numFmtId="0" fontId="24" fillId="0" borderId="15" xfId="0" applyFont="1" applyFill="1" applyBorder="1" applyAlignment="1">
      <alignment horizontal="center" vertical="center"/>
    </xf>
    <xf numFmtId="0" fontId="9" fillId="0" borderId="7" xfId="0" applyFont="1" applyFill="1" applyBorder="1" applyAlignment="1">
      <alignment horizontal="left" vertical="center" wrapText="1"/>
    </xf>
    <xf numFmtId="0" fontId="9" fillId="0" borderId="2" xfId="0" applyFont="1" applyFill="1" applyBorder="1" applyAlignment="1">
      <alignment horizontal="left" vertical="center" wrapText="1"/>
    </xf>
    <xf numFmtId="176" fontId="9" fillId="0" borderId="2" xfId="0" applyNumberFormat="1" applyFont="1" applyFill="1" applyBorder="1" applyAlignment="1">
      <alignment horizontal="left" vertical="center" wrapText="1"/>
    </xf>
    <xf numFmtId="178" fontId="25" fillId="0" borderId="8" xfId="0" applyNumberFormat="1" applyFont="1" applyFill="1" applyBorder="1" applyAlignment="1">
      <alignment horizontal="left" vertical="center" wrapText="1" shrinkToFit="1"/>
    </xf>
    <xf numFmtId="0" fontId="26" fillId="0" borderId="1" xfId="0" applyFont="1" applyFill="1" applyBorder="1" applyAlignment="1">
      <alignment horizontal="left" vertical="center" wrapText="1"/>
    </xf>
    <xf numFmtId="176" fontId="26" fillId="0" borderId="1" xfId="0" applyNumberFormat="1" applyFont="1" applyFill="1" applyBorder="1" applyAlignment="1">
      <alignment horizontal="left" vertical="center" wrapText="1"/>
    </xf>
    <xf numFmtId="0" fontId="26" fillId="0" borderId="1" xfId="0" applyFont="1" applyFill="1" applyBorder="1" applyAlignment="1">
      <alignment horizontal="center" vertical="center" wrapText="1"/>
    </xf>
    <xf numFmtId="0" fontId="27" fillId="0" borderId="1" xfId="0" applyFont="1" applyFill="1" applyBorder="1" applyAlignment="1">
      <alignment horizontal="left" vertical="center" wrapText="1"/>
    </xf>
    <xf numFmtId="176" fontId="27" fillId="0" borderId="1" xfId="0" applyNumberFormat="1" applyFont="1" applyFill="1" applyBorder="1" applyAlignment="1">
      <alignment horizontal="left" vertical="center" wrapText="1"/>
    </xf>
    <xf numFmtId="0" fontId="27" fillId="0" borderId="1" xfId="0" applyFont="1" applyFill="1" applyBorder="1" applyAlignment="1">
      <alignment horizontal="center" vertical="center" wrapText="1"/>
    </xf>
    <xf numFmtId="0" fontId="24" fillId="0" borderId="7" xfId="0" applyFont="1" applyFill="1" applyBorder="1" applyAlignment="1">
      <alignment horizontal="center" vertical="center"/>
    </xf>
    <xf numFmtId="0" fontId="24" fillId="0" borderId="8" xfId="0" applyFont="1" applyFill="1" applyBorder="1" applyAlignment="1">
      <alignment horizontal="center" vertical="center"/>
    </xf>
    <xf numFmtId="0" fontId="21" fillId="0" borderId="0" xfId="0" applyFont="1" applyFill="1" applyAlignment="1">
      <alignment horizontal="center"/>
    </xf>
    <xf numFmtId="0" fontId="4" fillId="0" borderId="0" xfId="0" applyFont="1" applyFill="1" applyAlignment="1">
      <alignment horizontal="left"/>
    </xf>
    <xf numFmtId="176" fontId="4" fillId="0" borderId="0" xfId="0" applyNumberFormat="1" applyFont="1" applyFill="1" applyAlignment="1">
      <alignment horizontal="left"/>
    </xf>
    <xf numFmtId="176" fontId="21" fillId="0" borderId="0" xfId="0" applyNumberFormat="1" applyFont="1" applyFill="1" applyAlignment="1"/>
    <xf numFmtId="0" fontId="3" fillId="0" borderId="0" xfId="0" applyFont="1" applyFill="1" applyBorder="1" applyAlignment="1">
      <alignment horizontal="left" vertical="center"/>
    </xf>
    <xf numFmtId="0" fontId="9" fillId="0" borderId="0" xfId="0" applyFont="1" applyFill="1" applyBorder="1" applyAlignment="1">
      <alignment vertical="center"/>
    </xf>
    <xf numFmtId="0" fontId="9" fillId="0" borderId="0" xfId="0" applyFont="1" applyFill="1" applyAlignment="1">
      <alignment vertical="center"/>
    </xf>
    <xf numFmtId="0" fontId="28" fillId="0" borderId="0" xfId="0" applyFont="1" applyFill="1" applyAlignment="1">
      <alignment horizontal="center" vertical="center" wrapText="1"/>
    </xf>
    <xf numFmtId="49" fontId="16" fillId="0" borderId="0" xfId="0" applyNumberFormat="1" applyFont="1" applyFill="1" applyAlignment="1">
      <alignment horizontal="center" vertical="center" wrapText="1"/>
    </xf>
    <xf numFmtId="0" fontId="20" fillId="3" borderId="1" xfId="49" applyFont="1" applyFill="1" applyBorder="1" applyAlignment="1">
      <alignment horizontal="center" vertical="center" wrapText="1"/>
    </xf>
    <xf numFmtId="178" fontId="9" fillId="0" borderId="1" xfId="0" applyNumberFormat="1" applyFont="1" applyFill="1" applyBorder="1" applyAlignment="1">
      <alignment horizontal="center" vertical="center" shrinkToFit="1"/>
    </xf>
    <xf numFmtId="176" fontId="20" fillId="0" borderId="1" xfId="49" applyNumberFormat="1" applyFont="1" applyFill="1" applyBorder="1" applyAlignment="1">
      <alignment horizontal="left" vertical="center" shrinkToFit="1"/>
    </xf>
    <xf numFmtId="0" fontId="9" fillId="0" borderId="11" xfId="0" applyFont="1" applyFill="1" applyBorder="1" applyAlignment="1">
      <alignment horizontal="center" vertical="center"/>
    </xf>
    <xf numFmtId="178" fontId="20" fillId="0" borderId="1" xfId="0" applyNumberFormat="1" applyFont="1" applyFill="1" applyBorder="1" applyAlignment="1">
      <alignment horizontal="center" vertical="center" shrinkToFit="1"/>
    </xf>
    <xf numFmtId="177" fontId="20" fillId="3" borderId="1" xfId="0" applyNumberFormat="1" applyFont="1" applyFill="1" applyBorder="1" applyAlignment="1">
      <alignment horizontal="center" vertical="center" shrinkToFit="1"/>
    </xf>
    <xf numFmtId="177" fontId="9" fillId="0" borderId="1" xfId="0" applyNumberFormat="1" applyFont="1" applyFill="1" applyBorder="1" applyAlignment="1">
      <alignment horizontal="center" vertical="center" shrinkToFit="1"/>
    </xf>
    <xf numFmtId="178" fontId="25" fillId="0" borderId="11" xfId="0" applyNumberFormat="1" applyFont="1" applyFill="1" applyBorder="1" applyAlignment="1">
      <alignment horizontal="justify" vertical="center" wrapText="1" shrinkToFit="1"/>
    </xf>
    <xf numFmtId="0" fontId="9" fillId="0" borderId="12" xfId="0" applyFont="1" applyFill="1" applyBorder="1" applyAlignment="1">
      <alignment horizontal="center" vertical="center"/>
    </xf>
    <xf numFmtId="178" fontId="25" fillId="0" borderId="12" xfId="0" applyNumberFormat="1" applyFont="1" applyFill="1" applyBorder="1" applyAlignment="1">
      <alignment horizontal="justify" vertical="center" wrapText="1" shrinkToFit="1"/>
    </xf>
    <xf numFmtId="177" fontId="9" fillId="0" borderId="0" xfId="0" applyNumberFormat="1" applyFont="1" applyFill="1" applyBorder="1" applyAlignment="1">
      <alignment vertical="center"/>
    </xf>
    <xf numFmtId="0" fontId="9" fillId="0" borderId="13" xfId="0" applyFont="1" applyFill="1" applyBorder="1" applyAlignment="1">
      <alignment horizontal="center" vertical="center"/>
    </xf>
    <xf numFmtId="178" fontId="25" fillId="0" borderId="13" xfId="0" applyNumberFormat="1" applyFont="1" applyFill="1" applyBorder="1" applyAlignment="1">
      <alignment horizontal="justify" vertical="center" wrapText="1" shrinkToFit="1"/>
    </xf>
    <xf numFmtId="177" fontId="9" fillId="0" borderId="0" xfId="0" applyNumberFormat="1" applyFont="1" applyFill="1" applyAlignment="1">
      <alignment vertical="center"/>
    </xf>
    <xf numFmtId="177" fontId="20" fillId="3" borderId="4" xfId="0" applyNumberFormat="1" applyFont="1" applyFill="1" applyBorder="1" applyAlignment="1">
      <alignment horizontal="center" vertical="center" shrinkToFit="1"/>
    </xf>
    <xf numFmtId="177" fontId="20" fillId="3" borderId="5" xfId="0" applyNumberFormat="1" applyFont="1" applyFill="1" applyBorder="1" applyAlignment="1">
      <alignment horizontal="center" vertical="center" shrinkToFit="1"/>
    </xf>
    <xf numFmtId="177" fontId="20" fillId="3" borderId="6" xfId="0" applyNumberFormat="1" applyFont="1" applyFill="1" applyBorder="1" applyAlignment="1">
      <alignment horizontal="center" vertical="center" shrinkToFit="1"/>
    </xf>
    <xf numFmtId="0" fontId="9" fillId="0" borderId="3" xfId="0" applyFont="1" applyFill="1" applyBorder="1" applyAlignment="1">
      <alignment horizontal="center" vertical="center" wrapText="1"/>
    </xf>
    <xf numFmtId="0" fontId="9" fillId="0" borderId="10" xfId="0" applyFont="1" applyFill="1" applyBorder="1" applyAlignment="1">
      <alignment horizontal="center" vertical="center" wrapText="1"/>
    </xf>
    <xf numFmtId="0" fontId="9" fillId="0" borderId="0" xfId="0" applyFont="1" applyFill="1" applyAlignment="1"/>
    <xf numFmtId="0" fontId="29" fillId="0" borderId="0" xfId="0" applyFont="1" applyFill="1" applyAlignment="1"/>
    <xf numFmtId="0" fontId="30" fillId="0" borderId="1" xfId="0" applyFont="1" applyFill="1" applyBorder="1" applyAlignment="1">
      <alignment horizontal="center" vertical="center"/>
    </xf>
    <xf numFmtId="0" fontId="30" fillId="0" borderId="11" xfId="0" applyFont="1" applyFill="1" applyBorder="1" applyAlignment="1">
      <alignment horizontal="center" vertical="center"/>
    </xf>
    <xf numFmtId="0" fontId="31" fillId="0" borderId="1" xfId="0" applyFont="1" applyFill="1" applyBorder="1" applyAlignment="1">
      <alignment horizontal="center" vertical="center"/>
    </xf>
    <xf numFmtId="0" fontId="31" fillId="0" borderId="1" xfId="0" applyFont="1" applyFill="1" applyBorder="1" applyAlignment="1">
      <alignment horizontal="center" vertical="center" wrapText="1"/>
    </xf>
    <xf numFmtId="0" fontId="24" fillId="0" borderId="1" xfId="0" applyFont="1" applyFill="1" applyBorder="1" applyAlignment="1">
      <alignment horizontal="center" vertical="center"/>
    </xf>
    <xf numFmtId="0" fontId="24" fillId="0" borderId="0" xfId="0" applyFont="1" applyFill="1" applyAlignment="1">
      <alignment vertical="center"/>
    </xf>
    <xf numFmtId="0" fontId="30" fillId="0" borderId="13" xfId="0" applyFont="1" applyFill="1" applyBorder="1" applyAlignment="1">
      <alignment horizontal="center" vertical="center"/>
    </xf>
    <xf numFmtId="0" fontId="32" fillId="0" borderId="1" xfId="0" applyFont="1" applyFill="1" applyBorder="1" applyAlignment="1">
      <alignment horizontal="center" vertical="center"/>
    </xf>
    <xf numFmtId="0" fontId="21" fillId="0" borderId="1" xfId="0" applyFont="1" applyFill="1" applyBorder="1" applyAlignment="1">
      <alignment horizontal="center" vertical="center"/>
    </xf>
    <xf numFmtId="0" fontId="33" fillId="0" borderId="1" xfId="0" applyFont="1" applyFill="1" applyBorder="1" applyAlignment="1">
      <alignment horizontal="center" vertical="center"/>
    </xf>
    <xf numFmtId="176" fontId="21" fillId="0" borderId="1" xfId="0" applyNumberFormat="1" applyFont="1" applyFill="1" applyBorder="1" applyAlignment="1">
      <alignment vertical="center"/>
    </xf>
    <xf numFmtId="0" fontId="32" fillId="0" borderId="0" xfId="0" applyFont="1" applyFill="1" applyAlignment="1">
      <alignment vertical="center" wrapText="1"/>
    </xf>
    <xf numFmtId="0" fontId="21" fillId="0" borderId="1" xfId="0" applyNumberFormat="1" applyFont="1" applyFill="1" applyBorder="1" applyAlignment="1">
      <alignment horizontal="center" vertical="center"/>
    </xf>
    <xf numFmtId="178" fontId="21" fillId="0" borderId="1" xfId="0" applyNumberFormat="1" applyFont="1" applyFill="1" applyBorder="1" applyAlignment="1">
      <alignment horizontal="center" vertical="center"/>
    </xf>
    <xf numFmtId="176" fontId="21" fillId="0" borderId="1" xfId="0" applyNumberFormat="1" applyFont="1" applyFill="1" applyBorder="1" applyAlignment="1">
      <alignment horizontal="center" vertical="center"/>
    </xf>
    <xf numFmtId="0" fontId="21" fillId="4" borderId="1" xfId="0" applyFont="1" applyFill="1" applyBorder="1" applyAlignment="1">
      <alignment horizontal="center" vertical="center"/>
    </xf>
    <xf numFmtId="0" fontId="21" fillId="5" borderId="1" xfId="0" applyFont="1" applyFill="1" applyBorder="1" applyAlignment="1">
      <alignment horizontal="center" vertical="center"/>
    </xf>
    <xf numFmtId="176" fontId="21" fillId="4" borderId="1" xfId="0" applyNumberFormat="1" applyFont="1" applyFill="1" applyBorder="1" applyAlignment="1">
      <alignment horizontal="center" vertical="center"/>
    </xf>
    <xf numFmtId="176" fontId="21" fillId="5" borderId="1" xfId="0" applyNumberFormat="1" applyFont="1" applyFill="1" applyBorder="1" applyAlignment="1">
      <alignment horizontal="center" vertical="center"/>
    </xf>
    <xf numFmtId="176" fontId="24" fillId="0" borderId="1" xfId="0" applyNumberFormat="1" applyFont="1" applyFill="1" applyBorder="1" applyAlignment="1">
      <alignment vertical="center"/>
    </xf>
    <xf numFmtId="0" fontId="31" fillId="0" borderId="1" xfId="0" applyFont="1" applyFill="1" applyBorder="1" applyAlignment="1">
      <alignment vertical="center"/>
    </xf>
    <xf numFmtId="176" fontId="24" fillId="0" borderId="1" xfId="0" applyNumberFormat="1" applyFont="1" applyFill="1" applyBorder="1" applyAlignment="1">
      <alignment horizontal="center" vertical="center"/>
    </xf>
    <xf numFmtId="176" fontId="24" fillId="4" borderId="1" xfId="0" applyNumberFormat="1" applyFont="1" applyFill="1" applyBorder="1" applyAlignment="1">
      <alignment horizontal="center" vertical="center"/>
    </xf>
    <xf numFmtId="176" fontId="24" fillId="5" borderId="1" xfId="0" applyNumberFormat="1" applyFont="1" applyFill="1" applyBorder="1" applyAlignment="1">
      <alignment horizontal="center" vertical="center"/>
    </xf>
    <xf numFmtId="178" fontId="24" fillId="0" borderId="1" xfId="0" applyNumberFormat="1" applyFont="1" applyFill="1" applyBorder="1" applyAlignment="1">
      <alignment horizontal="center" vertical="center"/>
    </xf>
    <xf numFmtId="0" fontId="21" fillId="0" borderId="0" xfId="0" applyFont="1" applyFill="1" applyAlignment="1">
      <alignment horizontal="center" vertical="center"/>
    </xf>
    <xf numFmtId="0" fontId="24" fillId="0" borderId="0" xfId="0" applyFont="1" applyFill="1" applyBorder="1" applyAlignment="1">
      <alignment horizontal="center" vertical="center"/>
    </xf>
    <xf numFmtId="0" fontId="24" fillId="0" borderId="0" xfId="0" applyFont="1" applyFill="1" applyAlignment="1">
      <alignment horizontal="center" vertical="center"/>
    </xf>
    <xf numFmtId="0" fontId="21" fillId="0" borderId="0" xfId="0" applyFont="1" applyFill="1" applyBorder="1" applyAlignment="1">
      <alignment horizontal="center" vertical="center"/>
    </xf>
    <xf numFmtId="0" fontId="30" fillId="0" borderId="1"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30" fillId="4" borderId="1" xfId="0" applyFont="1" applyFill="1" applyBorder="1" applyAlignment="1">
      <alignment horizontal="center" vertical="center" wrapText="1"/>
    </xf>
    <xf numFmtId="0" fontId="30" fillId="5" borderId="1" xfId="0" applyFont="1" applyFill="1" applyBorder="1" applyAlignment="1">
      <alignment horizontal="center" vertical="center"/>
    </xf>
    <xf numFmtId="0" fontId="30" fillId="4"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176" fontId="4" fillId="6" borderId="1" xfId="0" applyNumberFormat="1" applyFont="1" applyFill="1" applyBorder="1" applyAlignment="1">
      <alignment horizontal="center" vertical="center"/>
    </xf>
    <xf numFmtId="179" fontId="4" fillId="6" borderId="1" xfId="0" applyNumberFormat="1" applyFont="1" applyFill="1" applyBorder="1" applyAlignment="1">
      <alignment horizontal="center" vertical="center"/>
    </xf>
    <xf numFmtId="177" fontId="4" fillId="6" borderId="1" xfId="0" applyNumberFormat="1" applyFont="1" applyFill="1" applyBorder="1" applyAlignment="1">
      <alignment horizontal="center" vertical="center" wrapText="1"/>
    </xf>
    <xf numFmtId="177" fontId="22" fillId="6" borderId="13" xfId="0" applyNumberFormat="1" applyFont="1" applyFill="1" applyBorder="1" applyAlignment="1">
      <alignment horizontal="center" vertical="center"/>
    </xf>
    <xf numFmtId="0" fontId="33" fillId="0" borderId="1" xfId="0" applyFont="1" applyFill="1" applyBorder="1" applyAlignment="1">
      <alignment horizontal="center" vertical="center" wrapText="1"/>
    </xf>
    <xf numFmtId="180" fontId="24" fillId="0" borderId="1" xfId="0" applyNumberFormat="1" applyFont="1" applyFill="1" applyBorder="1" applyAlignment="1">
      <alignment horizontal="center" vertical="center"/>
    </xf>
    <xf numFmtId="0" fontId="21" fillId="0" borderId="0" xfId="0" applyFont="1" applyFill="1" applyBorder="1" applyAlignment="1">
      <alignment vertical="center"/>
    </xf>
    <xf numFmtId="0" fontId="33" fillId="0" borderId="4" xfId="0" applyFont="1" applyFill="1" applyBorder="1" applyAlignment="1">
      <alignment horizontal="center" vertical="center" wrapText="1"/>
    </xf>
    <xf numFmtId="0" fontId="33" fillId="0" borderId="5" xfId="0" applyFont="1" applyFill="1" applyBorder="1" applyAlignment="1">
      <alignment horizontal="center" vertical="center" wrapText="1"/>
    </xf>
    <xf numFmtId="0" fontId="33" fillId="0" borderId="6" xfId="0" applyFont="1" applyFill="1" applyBorder="1" applyAlignment="1">
      <alignment horizontal="center" vertical="center" wrapText="1"/>
    </xf>
    <xf numFmtId="177" fontId="21" fillId="0" borderId="1" xfId="0" applyNumberFormat="1" applyFont="1" applyFill="1" applyBorder="1" applyAlignment="1">
      <alignment vertical="center"/>
    </xf>
    <xf numFmtId="176" fontId="21" fillId="0" borderId="0" xfId="0" applyNumberFormat="1" applyFont="1" applyFill="1" applyBorder="1" applyAlignment="1">
      <alignment horizontal="center" vertical="center"/>
    </xf>
    <xf numFmtId="179" fontId="21" fillId="0" borderId="0" xfId="0" applyNumberFormat="1" applyFont="1" applyFill="1" applyAlignment="1">
      <alignment horizontal="center" vertical="center"/>
    </xf>
    <xf numFmtId="177" fontId="21" fillId="0" borderId="1" xfId="0" applyNumberFormat="1" applyFont="1" applyFill="1" applyBorder="1" applyAlignment="1">
      <alignment horizontal="center" vertical="center"/>
    </xf>
    <xf numFmtId="180" fontId="21" fillId="0" borderId="0" xfId="0" applyNumberFormat="1" applyFont="1" applyFill="1" applyBorder="1" applyAlignment="1">
      <alignment vertical="center"/>
    </xf>
    <xf numFmtId="177" fontId="21" fillId="0" borderId="0" xfId="0" applyNumberFormat="1" applyFont="1" applyFill="1" applyAlignment="1">
      <alignment vertical="center"/>
    </xf>
    <xf numFmtId="0" fontId="24" fillId="0" borderId="4" xfId="0" applyFont="1" applyFill="1" applyBorder="1" applyAlignment="1">
      <alignment horizontal="center" vertical="center"/>
    </xf>
    <xf numFmtId="0" fontId="24" fillId="0" borderId="5" xfId="0" applyFont="1" applyFill="1" applyBorder="1" applyAlignment="1">
      <alignment horizontal="center" vertical="center"/>
    </xf>
    <xf numFmtId="0" fontId="24" fillId="0" borderId="6" xfId="0" applyFont="1" applyFill="1" applyBorder="1" applyAlignment="1">
      <alignment horizontal="center" vertical="center"/>
    </xf>
    <xf numFmtId="0" fontId="31" fillId="0" borderId="1" xfId="0" applyFont="1" applyFill="1" applyBorder="1" applyAlignment="1">
      <alignment horizontal="right" vertical="center"/>
    </xf>
    <xf numFmtId="0" fontId="21" fillId="0" borderId="1" xfId="0" applyFont="1" applyFill="1" applyBorder="1" applyAlignment="1">
      <alignment horizontal="center" vertical="center" wrapText="1"/>
    </xf>
    <xf numFmtId="0" fontId="34" fillId="0" borderId="1" xfId="0" applyFont="1" applyFill="1" applyBorder="1" applyAlignment="1">
      <alignment horizontal="center" vertical="center" wrapText="1"/>
    </xf>
    <xf numFmtId="0" fontId="21" fillId="0" borderId="0" xfId="0" applyFont="1" applyFill="1" applyAlignment="1">
      <alignment horizontal="center" vertical="center" wrapText="1"/>
    </xf>
    <xf numFmtId="9" fontId="21" fillId="4" borderId="1" xfId="0" applyNumberFormat="1" applyFont="1" applyFill="1" applyBorder="1" applyAlignment="1">
      <alignment horizontal="center" vertical="center"/>
    </xf>
    <xf numFmtId="9" fontId="21" fillId="4" borderId="1" xfId="3" applyNumberFormat="1" applyFont="1" applyFill="1" applyBorder="1" applyAlignment="1">
      <alignment horizontal="center" vertical="center"/>
    </xf>
    <xf numFmtId="177" fontId="24" fillId="0" borderId="1" xfId="0" applyNumberFormat="1" applyFont="1" applyFill="1" applyBorder="1" applyAlignment="1">
      <alignment horizontal="center" vertical="center"/>
    </xf>
    <xf numFmtId="0" fontId="35" fillId="0" borderId="16" xfId="0" applyFont="1" applyFill="1" applyBorder="1" applyAlignment="1">
      <alignment horizontal="left" vertical="center" wrapText="1"/>
    </xf>
    <xf numFmtId="0" fontId="36" fillId="0" borderId="17" xfId="0" applyFont="1" applyFill="1" applyBorder="1" applyAlignment="1">
      <alignment horizontal="center" vertical="center" wrapText="1"/>
    </xf>
    <xf numFmtId="0" fontId="37" fillId="0" borderId="18" xfId="0" applyFont="1" applyFill="1" applyBorder="1" applyAlignment="1">
      <alignment horizontal="center" vertical="center" wrapText="1"/>
    </xf>
    <xf numFmtId="0" fontId="37" fillId="0" borderId="19" xfId="0" applyFont="1" applyFill="1" applyBorder="1" applyAlignment="1">
      <alignment horizontal="center" vertical="center" wrapText="1"/>
    </xf>
    <xf numFmtId="0" fontId="38" fillId="0" borderId="20" xfId="0" applyFont="1" applyFill="1" applyBorder="1" applyAlignment="1">
      <alignment horizontal="center" vertical="center" wrapText="1"/>
    </xf>
    <xf numFmtId="0" fontId="39" fillId="0" borderId="20" xfId="0" applyFont="1" applyFill="1" applyBorder="1" applyAlignment="1">
      <alignment horizontal="center" vertical="center" wrapText="1"/>
    </xf>
    <xf numFmtId="0" fontId="35" fillId="0" borderId="1" xfId="0" applyFont="1" applyFill="1" applyBorder="1" applyAlignment="1">
      <alignment horizontal="center" vertical="center" wrapText="1"/>
    </xf>
    <xf numFmtId="0" fontId="36" fillId="0" borderId="18" xfId="0" applyFont="1" applyFill="1" applyBorder="1" applyAlignment="1">
      <alignment horizontal="center" vertical="center" wrapText="1"/>
    </xf>
    <xf numFmtId="0" fontId="40" fillId="0" borderId="18" xfId="0" applyFont="1" applyFill="1" applyBorder="1" applyAlignment="1">
      <alignment horizontal="center" vertical="center" wrapText="1"/>
    </xf>
    <xf numFmtId="0" fontId="36" fillId="0" borderId="19" xfId="0" applyFont="1" applyFill="1" applyBorder="1" applyAlignment="1">
      <alignment horizontal="center" vertical="center" wrapText="1"/>
    </xf>
    <xf numFmtId="9" fontId="35" fillId="0" borderId="1" xfId="3" applyFont="1" applyFill="1" applyBorder="1" applyAlignment="1">
      <alignment horizontal="center" vertical="center" wrapText="1"/>
    </xf>
    <xf numFmtId="9" fontId="37" fillId="0" borderId="17" xfId="3" applyFont="1" applyFill="1" applyBorder="1" applyAlignment="1">
      <alignment horizontal="center" vertical="center" wrapText="1"/>
    </xf>
    <xf numFmtId="9" fontId="37" fillId="0" borderId="18" xfId="3" applyFont="1" applyFill="1" applyBorder="1" applyAlignment="1">
      <alignment horizontal="center" vertical="center" wrapText="1"/>
    </xf>
    <xf numFmtId="9" fontId="37" fillId="0" borderId="18" xfId="3" applyFont="1" applyBorder="1" applyAlignment="1">
      <alignment horizontal="center" vertical="center" wrapText="1"/>
    </xf>
    <xf numFmtId="9" fontId="37" fillId="0" borderId="19" xfId="3" applyFont="1" applyBorder="1" applyAlignment="1">
      <alignment horizontal="center" vertical="center" wrapText="1"/>
    </xf>
    <xf numFmtId="9" fontId="39" fillId="0" borderId="20" xfId="0" applyNumberFormat="1" applyFont="1" applyFill="1" applyBorder="1" applyAlignment="1">
      <alignment horizontal="center" vertical="center" wrapText="1"/>
    </xf>
    <xf numFmtId="177" fontId="39" fillId="0" borderId="20" xfId="0" applyNumberFormat="1" applyFont="1" applyFill="1" applyBorder="1" applyAlignment="1">
      <alignment horizontal="center" vertical="center" wrapText="1"/>
    </xf>
    <xf numFmtId="43" fontId="39" fillId="0" borderId="20" xfId="1" applyFont="1" applyFill="1" applyBorder="1" applyAlignment="1">
      <alignment horizontal="center" vertical="center" wrapText="1"/>
    </xf>
    <xf numFmtId="177" fontId="39" fillId="0" borderId="20" xfId="0" applyNumberFormat="1" applyFont="1" applyFill="1" applyBorder="1" applyAlignment="1">
      <alignment vertical="center" wrapText="1"/>
    </xf>
    <xf numFmtId="176" fontId="39" fillId="0" borderId="20" xfId="0" applyNumberFormat="1" applyFont="1" applyFill="1" applyBorder="1" applyAlignment="1">
      <alignment horizontal="center" vertical="center" wrapText="1"/>
    </xf>
    <xf numFmtId="176" fontId="21" fillId="0" borderId="0" xfId="0" applyNumberFormat="1" applyFont="1" applyFill="1" applyAlignment="1">
      <alignment horizontal="center" vertical="center"/>
    </xf>
    <xf numFmtId="0" fontId="21" fillId="0" borderId="0" xfId="0" applyNumberFormat="1" applyFont="1" applyFill="1" applyAlignment="1">
      <alignment horizontal="center" vertical="center"/>
    </xf>
    <xf numFmtId="0" fontId="28" fillId="0" borderId="0" xfId="0" applyFont="1" applyFill="1" applyAlignment="1">
      <alignment horizontal="right" vertical="center" wrapText="1"/>
    </xf>
    <xf numFmtId="0" fontId="16" fillId="0" borderId="0" xfId="0" applyFont="1" applyFill="1" applyAlignment="1">
      <alignment horizontal="center" vertical="center" wrapText="1"/>
    </xf>
    <xf numFmtId="0" fontId="28" fillId="0" borderId="0" xfId="0" applyFont="1" applyFill="1" applyAlignment="1">
      <alignment horizontal="left" vertical="center" wrapText="1"/>
    </xf>
    <xf numFmtId="0" fontId="22" fillId="0" borderId="1" xfId="49" applyFont="1" applyFill="1" applyBorder="1" applyAlignment="1" applyProtection="1">
      <alignment horizontal="center" vertical="center" wrapText="1"/>
    </xf>
    <xf numFmtId="176" fontId="9" fillId="0" borderId="1" xfId="49" applyNumberFormat="1" applyFont="1" applyFill="1" applyBorder="1" applyAlignment="1">
      <alignment horizontal="left" vertical="center" shrinkToFit="1"/>
    </xf>
    <xf numFmtId="0" fontId="9" fillId="0" borderId="11" xfId="0" applyFont="1" applyFill="1" applyBorder="1" applyAlignment="1">
      <alignment horizontal="justify" vertical="center" wrapText="1"/>
    </xf>
    <xf numFmtId="176" fontId="9" fillId="0" borderId="11" xfId="49" applyNumberFormat="1" applyFont="1" applyFill="1" applyBorder="1" applyAlignment="1">
      <alignment horizontal="justify" vertical="center" wrapText="1" shrinkToFit="1"/>
    </xf>
    <xf numFmtId="0" fontId="9" fillId="0" borderId="12" xfId="0" applyFont="1" applyFill="1" applyBorder="1" applyAlignment="1">
      <alignment horizontal="justify" vertical="center" wrapText="1"/>
    </xf>
    <xf numFmtId="176" fontId="9" fillId="0" borderId="12" xfId="49" applyNumberFormat="1" applyFont="1" applyFill="1" applyBorder="1" applyAlignment="1">
      <alignment horizontal="justify" vertical="center" wrapText="1" shrinkToFit="1"/>
    </xf>
    <xf numFmtId="0" fontId="9" fillId="0" borderId="13" xfId="0" applyFont="1" applyFill="1" applyBorder="1" applyAlignment="1">
      <alignment horizontal="justify" vertical="center" wrapText="1"/>
    </xf>
    <xf numFmtId="0" fontId="9" fillId="0" borderId="1" xfId="0" applyFont="1" applyFill="1" applyBorder="1" applyAlignment="1">
      <alignment vertical="center" wrapText="1"/>
    </xf>
    <xf numFmtId="176" fontId="9" fillId="0" borderId="1" xfId="0" applyNumberFormat="1"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6" xfId="0" applyFont="1" applyFill="1" applyBorder="1" applyAlignment="1">
      <alignment horizontal="center" vertical="center" wrapText="1"/>
    </xf>
    <xf numFmtId="176" fontId="9" fillId="0" borderId="1" xfId="49" applyNumberFormat="1" applyFont="1" applyFill="1" applyBorder="1" applyAlignment="1">
      <alignment horizontal="justify" vertical="center" wrapText="1" shrinkToFit="1"/>
    </xf>
    <xf numFmtId="0" fontId="9" fillId="0" borderId="1" xfId="49" applyFont="1" applyFill="1" applyBorder="1" applyAlignment="1">
      <alignment horizontal="justify" vertical="center" wrapText="1"/>
    </xf>
    <xf numFmtId="0" fontId="9" fillId="0" borderId="14" xfId="0" applyFont="1" applyFill="1" applyBorder="1" applyAlignment="1">
      <alignment horizontal="center" vertical="center" wrapText="1"/>
    </xf>
    <xf numFmtId="0" fontId="9" fillId="0" borderId="15"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9" fillId="0" borderId="8" xfId="0" applyFont="1" applyFill="1" applyBorder="1" applyAlignment="1">
      <alignment horizontal="center" vertical="center" wrapText="1"/>
    </xf>
    <xf numFmtId="178" fontId="19" fillId="0" borderId="1" xfId="0" applyNumberFormat="1" applyFont="1" applyFill="1" applyBorder="1" applyAlignment="1">
      <alignment horizontal="justify" vertical="center" wrapText="1" shrinkToFit="1"/>
    </xf>
    <xf numFmtId="177" fontId="9" fillId="0" borderId="0" xfId="0" applyNumberFormat="1" applyFont="1" applyFill="1" applyBorder="1" applyAlignment="1">
      <alignment horizontal="left" vertical="center" wrapText="1"/>
    </xf>
    <xf numFmtId="177" fontId="9" fillId="0" borderId="0" xfId="0" applyNumberFormat="1" applyFont="1" applyFill="1" applyBorder="1" applyAlignment="1">
      <alignment horizontal="left" vertical="center"/>
    </xf>
    <xf numFmtId="0" fontId="17" fillId="0" borderId="1" xfId="0" applyFont="1" applyFill="1" applyBorder="1" applyAlignment="1">
      <alignment horizontal="center" vertical="center" wrapText="1"/>
    </xf>
    <xf numFmtId="0" fontId="19" fillId="0" borderId="4" xfId="0" applyFont="1" applyFill="1" applyBorder="1" applyAlignment="1">
      <alignment horizontal="center" vertical="center" wrapText="1"/>
    </xf>
    <xf numFmtId="0" fontId="19" fillId="0" borderId="6" xfId="0" applyFont="1" applyFill="1" applyBorder="1" applyAlignment="1">
      <alignment horizontal="center" vertical="center" wrapText="1"/>
    </xf>
    <xf numFmtId="177" fontId="4" fillId="0" borderId="1" xfId="0" applyNumberFormat="1" applyFont="1" applyFill="1" applyBorder="1" applyAlignment="1">
      <alignment horizontal="center" vertical="center" shrinkToFit="1"/>
    </xf>
    <xf numFmtId="178" fontId="19" fillId="0" borderId="1" xfId="0" applyNumberFormat="1" applyFont="1" applyFill="1" applyBorder="1" applyAlignment="1">
      <alignment horizontal="center" vertical="center" wrapText="1" shrinkToFit="1"/>
    </xf>
    <xf numFmtId="0" fontId="9" fillId="0" borderId="4" xfId="0" applyFont="1" applyFill="1" applyBorder="1" applyAlignment="1">
      <alignment horizontal="left" vertical="center" wrapText="1"/>
    </xf>
    <xf numFmtId="0" fontId="9" fillId="0" borderId="5" xfId="0" applyFont="1" applyFill="1" applyBorder="1" applyAlignment="1">
      <alignment horizontal="left" vertical="center" wrapText="1"/>
    </xf>
    <xf numFmtId="0" fontId="9" fillId="0" borderId="5" xfId="0" applyFont="1" applyFill="1" applyBorder="1" applyAlignment="1">
      <alignment horizontal="center" vertical="center" wrapText="1"/>
    </xf>
    <xf numFmtId="0" fontId="9" fillId="0" borderId="6" xfId="0" applyFont="1" applyFill="1" applyBorder="1" applyAlignment="1">
      <alignment horizontal="left" vertical="center" wrapText="1"/>
    </xf>
    <xf numFmtId="178" fontId="19" fillId="0" borderId="11" xfId="0" applyNumberFormat="1" applyFont="1" applyFill="1" applyBorder="1" applyAlignment="1">
      <alignment horizontal="center" vertical="center" wrapText="1" shrinkToFit="1"/>
    </xf>
    <xf numFmtId="0" fontId="24" fillId="0" borderId="3" xfId="0" applyFont="1" applyFill="1" applyBorder="1" applyAlignment="1">
      <alignment horizontal="center" vertical="center"/>
    </xf>
    <xf numFmtId="0" fontId="24" fillId="0" borderId="10" xfId="0" applyFont="1" applyFill="1" applyBorder="1" applyAlignment="1">
      <alignment horizontal="center" vertical="center"/>
    </xf>
    <xf numFmtId="0" fontId="41" fillId="0" borderId="4" xfId="0" applyFont="1" applyFill="1" applyBorder="1" applyAlignment="1">
      <alignment horizontal="left" vertical="center" wrapText="1"/>
    </xf>
    <xf numFmtId="0" fontId="41" fillId="0" borderId="5" xfId="0" applyFont="1" applyFill="1" applyBorder="1" applyAlignment="1">
      <alignment horizontal="left" vertical="center" wrapText="1"/>
    </xf>
    <xf numFmtId="0" fontId="41" fillId="0" borderId="6" xfId="0" applyFont="1" applyFill="1" applyBorder="1" applyAlignment="1">
      <alignment horizontal="left" vertical="center" wrapText="1"/>
    </xf>
    <xf numFmtId="0" fontId="41" fillId="0" borderId="1" xfId="0" applyFont="1" applyFill="1" applyBorder="1" applyAlignment="1">
      <alignment horizontal="left" vertical="center" wrapText="1"/>
    </xf>
    <xf numFmtId="0" fontId="4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4" xfId="0" applyFont="1" applyFill="1" applyBorder="1" applyAlignment="1">
      <alignment horizontal="left" wrapText="1"/>
    </xf>
    <xf numFmtId="0" fontId="21" fillId="0" borderId="5" xfId="0" applyFont="1" applyFill="1" applyBorder="1" applyAlignment="1">
      <alignment horizontal="left" wrapText="1"/>
    </xf>
    <xf numFmtId="0" fontId="21" fillId="0" borderId="6" xfId="0" applyFont="1" applyFill="1" applyBorder="1" applyAlignment="1">
      <alignment horizontal="left" wrapText="1"/>
    </xf>
    <xf numFmtId="0" fontId="42" fillId="0" borderId="0" xfId="0" applyFont="1" applyFill="1" applyAlignment="1"/>
    <xf numFmtId="177" fontId="9" fillId="0" borderId="0" xfId="0" applyNumberFormat="1" applyFont="1" applyFill="1" applyBorder="1" applyAlignment="1">
      <alignment horizontal="center" vertical="center"/>
    </xf>
    <xf numFmtId="0" fontId="43" fillId="0" borderId="1" xfId="0" applyFont="1" applyBorder="1" applyAlignment="1">
      <alignment horizontal="center" vertical="center"/>
    </xf>
    <xf numFmtId="0" fontId="43" fillId="0" borderId="4" xfId="0" applyFont="1" applyBorder="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181" fontId="0" fillId="0" borderId="4" xfId="1" applyNumberFormat="1" applyBorder="1">
      <alignment vertical="center"/>
    </xf>
    <xf numFmtId="181" fontId="0" fillId="0" borderId="1" xfId="1" applyNumberFormat="1" applyBorder="1">
      <alignment vertical="center"/>
    </xf>
    <xf numFmtId="14" fontId="0" fillId="0" borderId="0" xfId="0" applyNumberFormat="1">
      <alignment vertical="center"/>
    </xf>
    <xf numFmtId="181" fontId="0" fillId="0" borderId="0" xfId="1" applyNumberFormat="1">
      <alignment vertical="center"/>
    </xf>
    <xf numFmtId="0" fontId="0" fillId="0" borderId="11" xfId="0" applyBorder="1">
      <alignment vertical="center"/>
    </xf>
    <xf numFmtId="181" fontId="0" fillId="0" borderId="11" xfId="1" applyNumberFormat="1" applyBorder="1">
      <alignment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181" fontId="0" fillId="4" borderId="1" xfId="1" applyNumberFormat="1" applyFill="1" applyBorder="1">
      <alignment vertical="center"/>
    </xf>
    <xf numFmtId="0" fontId="0" fillId="0" borderId="0" xfId="0" applyFill="1">
      <alignment vertical="center"/>
    </xf>
    <xf numFmtId="0" fontId="0" fillId="0" borderId="0" xfId="0" applyAlignment="1"/>
    <xf numFmtId="0" fontId="0" fillId="0" borderId="0" xfId="0" applyAlignment="1">
      <alignment vertical="center"/>
    </xf>
    <xf numFmtId="0" fontId="0" fillId="0" borderId="0" xfId="0" applyAlignment="1">
      <alignment horizontal="center" vertical="center"/>
    </xf>
    <xf numFmtId="0" fontId="44" fillId="0" borderId="0" xfId="0" applyFont="1" applyAlignment="1">
      <alignment horizontal="center" vertical="center" wrapText="1"/>
    </xf>
    <xf numFmtId="0" fontId="44" fillId="0" borderId="0" xfId="0" applyFont="1" applyAlignment="1">
      <alignment horizontal="justify" vertical="center" wrapText="1"/>
    </xf>
    <xf numFmtId="0" fontId="45" fillId="0" borderId="0" xfId="0" applyFont="1" applyAlignment="1">
      <alignment horizontal="justify" vertical="center" wrapText="1"/>
    </xf>
    <xf numFmtId="0" fontId="46" fillId="0" borderId="0" xfId="0" applyFont="1" applyBorder="1" applyAlignment="1">
      <alignment horizontal="center" vertical="center" wrapText="1"/>
    </xf>
    <xf numFmtId="0" fontId="46" fillId="0" borderId="0" xfId="0" applyFont="1" applyAlignment="1">
      <alignment horizontal="center" vertical="center" wrapText="1"/>
    </xf>
    <xf numFmtId="0" fontId="46" fillId="7" borderId="1" xfId="0" applyFont="1" applyFill="1" applyBorder="1" applyAlignment="1">
      <alignment horizontal="center" vertical="center" wrapText="1"/>
    </xf>
    <xf numFmtId="0" fontId="46" fillId="0" borderId="1" xfId="0" applyFont="1" applyBorder="1" applyAlignment="1">
      <alignment horizontal="center" vertical="center" wrapText="1"/>
    </xf>
    <xf numFmtId="0" fontId="46" fillId="0" borderId="1" xfId="0" applyNumberFormat="1" applyFont="1" applyBorder="1" applyAlignment="1">
      <alignment horizontal="center" vertical="center" wrapText="1"/>
    </xf>
    <xf numFmtId="177" fontId="46" fillId="0" borderId="1" xfId="0" applyNumberFormat="1" applyFont="1" applyBorder="1" applyAlignment="1">
      <alignment horizontal="center" vertical="center" wrapText="1"/>
    </xf>
    <xf numFmtId="177" fontId="46" fillId="0" borderId="1" xfId="0" applyNumberFormat="1" applyFont="1" applyBorder="1" applyAlignment="1">
      <alignment horizontal="justify" vertical="center" wrapText="1"/>
    </xf>
    <xf numFmtId="0" fontId="46" fillId="0" borderId="1" xfId="0" applyFont="1" applyFill="1" applyBorder="1" applyAlignment="1">
      <alignment horizontal="center" vertical="center" wrapText="1"/>
    </xf>
    <xf numFmtId="177" fontId="46" fillId="7" borderId="1" xfId="0" applyNumberFormat="1" applyFont="1" applyFill="1" applyBorder="1" applyAlignment="1">
      <alignment horizontal="center" vertical="center" wrapText="1"/>
    </xf>
    <xf numFmtId="0" fontId="47" fillId="0" borderId="1" xfId="0" applyFont="1" applyBorder="1" applyAlignment="1">
      <alignment horizontal="left" vertical="center" wrapText="1"/>
    </xf>
    <xf numFmtId="0" fontId="48" fillId="0" borderId="1" xfId="0" applyFont="1" applyBorder="1" applyAlignment="1">
      <alignment vertical="center" wrapText="1"/>
    </xf>
    <xf numFmtId="0" fontId="49" fillId="0" borderId="0" xfId="0" applyFont="1">
      <alignment vertical="center"/>
    </xf>
    <xf numFmtId="176" fontId="44" fillId="0" borderId="0" xfId="0" applyNumberFormat="1" applyFont="1" applyAlignment="1">
      <alignment horizontal="center" vertical="center" wrapText="1"/>
    </xf>
    <xf numFmtId="0" fontId="45" fillId="0" borderId="0" xfId="0" applyFont="1" applyAlignment="1">
      <alignment horizontal="left" vertical="center" wrapText="1"/>
    </xf>
    <xf numFmtId="176" fontId="46" fillId="0" borderId="0" xfId="0" applyNumberFormat="1" applyFont="1" applyAlignment="1">
      <alignment horizontal="center" vertical="center" wrapText="1"/>
    </xf>
    <xf numFmtId="176" fontId="46" fillId="0" borderId="0" xfId="0" applyNumberFormat="1" applyFont="1" applyBorder="1" applyAlignment="1">
      <alignment horizontal="center" vertical="center" wrapText="1"/>
    </xf>
    <xf numFmtId="176" fontId="46" fillId="0" borderId="1" xfId="0" applyNumberFormat="1" applyFont="1" applyFill="1" applyBorder="1" applyAlignment="1">
      <alignment horizontal="center" vertical="center" wrapText="1"/>
    </xf>
    <xf numFmtId="0" fontId="50" fillId="0" borderId="1" xfId="0" applyFont="1" applyFill="1" applyBorder="1" applyAlignment="1">
      <alignment horizontal="center" vertical="center" wrapText="1"/>
    </xf>
    <xf numFmtId="176" fontId="50" fillId="0" borderId="1" xfId="0" applyNumberFormat="1" applyFont="1" applyFill="1" applyBorder="1" applyAlignment="1">
      <alignment vertical="center" wrapText="1"/>
    </xf>
    <xf numFmtId="176" fontId="50" fillId="0" borderId="1" xfId="0" applyNumberFormat="1" applyFont="1" applyFill="1" applyBorder="1" applyAlignment="1">
      <alignment horizontal="center" vertical="center" wrapText="1"/>
    </xf>
    <xf numFmtId="0" fontId="47" fillId="0" borderId="1" xfId="0" applyFont="1" applyBorder="1" applyAlignment="1">
      <alignment vertical="center" wrapText="1"/>
    </xf>
    <xf numFmtId="0" fontId="47" fillId="0" borderId="1" xfId="0" applyFont="1" applyBorder="1" applyAlignment="1">
      <alignment horizontal="center" vertical="center" wrapText="1"/>
    </xf>
    <xf numFmtId="176" fontId="47" fillId="0" borderId="1" xfId="0" applyNumberFormat="1" applyFont="1" applyBorder="1" applyAlignment="1">
      <alignment vertical="center" wrapText="1"/>
    </xf>
    <xf numFmtId="0" fontId="48" fillId="0" borderId="1" xfId="0" applyFont="1" applyBorder="1" applyAlignment="1">
      <alignment horizontal="left" vertical="center" wrapText="1"/>
    </xf>
    <xf numFmtId="0" fontId="48" fillId="0" borderId="1" xfId="0" applyFont="1" applyBorder="1" applyAlignment="1">
      <alignment horizontal="center" vertical="center" wrapText="1"/>
    </xf>
    <xf numFmtId="176" fontId="48" fillId="0" borderId="1" xfId="0" applyNumberFormat="1" applyFont="1" applyBorder="1" applyAlignment="1">
      <alignment horizontal="left" vertical="center" wrapText="1"/>
    </xf>
    <xf numFmtId="0" fontId="46" fillId="0" borderId="21" xfId="0" applyFont="1" applyBorder="1" applyAlignment="1">
      <alignment horizontal="center" vertical="center" wrapText="1"/>
    </xf>
    <xf numFmtId="0" fontId="46" fillId="0" borderId="22" xfId="0" applyFont="1" applyBorder="1" applyAlignment="1">
      <alignment horizontal="center" vertical="center" wrapText="1"/>
    </xf>
    <xf numFmtId="0" fontId="46" fillId="7" borderId="23" xfId="0" applyFont="1" applyFill="1" applyBorder="1" applyAlignment="1">
      <alignment horizontal="center" vertical="center" wrapText="1"/>
    </xf>
    <xf numFmtId="0" fontId="46" fillId="7" borderId="24" xfId="0" applyFont="1" applyFill="1" applyBorder="1" applyAlignment="1">
      <alignment horizontal="center" vertical="center" wrapText="1"/>
    </xf>
    <xf numFmtId="0" fontId="46" fillId="7" borderId="25" xfId="0" applyFont="1" applyFill="1" applyBorder="1" applyAlignment="1">
      <alignment horizontal="center" vertical="center" wrapText="1"/>
    </xf>
    <xf numFmtId="0" fontId="46" fillId="7" borderId="26" xfId="0" applyFont="1" applyFill="1" applyBorder="1" applyAlignment="1">
      <alignment horizontal="center" vertical="center" wrapText="1"/>
    </xf>
    <xf numFmtId="0" fontId="46" fillId="7" borderId="27" xfId="0" applyFont="1" applyFill="1" applyBorder="1" applyAlignment="1">
      <alignment horizontal="center" vertical="center" wrapText="1"/>
    </xf>
    <xf numFmtId="0" fontId="46" fillId="0" borderId="26" xfId="0" applyFont="1" applyBorder="1" applyAlignment="1">
      <alignment horizontal="center" vertical="center" wrapText="1"/>
    </xf>
    <xf numFmtId="0" fontId="46" fillId="0" borderId="27" xfId="0" applyFont="1" applyBorder="1" applyAlignment="1">
      <alignment horizontal="center" vertical="center" wrapText="1"/>
    </xf>
    <xf numFmtId="177" fontId="46" fillId="0" borderId="27" xfId="0" applyNumberFormat="1" applyFont="1" applyBorder="1" applyAlignment="1">
      <alignment horizontal="center" vertical="center" wrapText="1"/>
    </xf>
    <xf numFmtId="0" fontId="46" fillId="7" borderId="27" xfId="0" applyFont="1" applyFill="1" applyBorder="1" applyAlignment="1">
      <alignment vertical="center" wrapText="1"/>
    </xf>
    <xf numFmtId="177" fontId="46" fillId="7" borderId="27" xfId="0" applyNumberFormat="1" applyFont="1" applyFill="1" applyBorder="1" applyAlignment="1">
      <alignment vertical="center" wrapText="1"/>
    </xf>
    <xf numFmtId="0" fontId="47" fillId="0" borderId="28" xfId="0" applyFont="1" applyBorder="1" applyAlignment="1">
      <alignment horizontal="left" vertical="center" wrapText="1"/>
    </xf>
    <xf numFmtId="0" fontId="47" fillId="0" borderId="0" xfId="0" applyFont="1" applyAlignment="1">
      <alignment horizontal="left" vertical="center" wrapText="1"/>
    </xf>
    <xf numFmtId="0" fontId="47" fillId="0" borderId="29" xfId="0" applyFont="1" applyBorder="1" applyAlignment="1">
      <alignment horizontal="left" vertical="center" wrapText="1"/>
    </xf>
    <xf numFmtId="0" fontId="47" fillId="0" borderId="30" xfId="0" applyFont="1" applyBorder="1" applyAlignment="1">
      <alignment horizontal="left" vertical="center" wrapText="1"/>
    </xf>
    <xf numFmtId="0" fontId="47" fillId="0" borderId="22" xfId="0" applyFont="1" applyBorder="1" applyAlignment="1">
      <alignment horizontal="left" vertical="center" wrapText="1"/>
    </xf>
    <xf numFmtId="0" fontId="47" fillId="0" borderId="27" xfId="0" applyFont="1" applyBorder="1" applyAlignment="1">
      <alignment horizontal="left" vertical="center" wrapText="1"/>
    </xf>
    <xf numFmtId="0" fontId="48" fillId="0" borderId="28" xfId="0" applyFont="1" applyBorder="1" applyAlignment="1">
      <alignment horizontal="left" vertical="center" wrapText="1"/>
    </xf>
    <xf numFmtId="0" fontId="48" fillId="0" borderId="0" xfId="0" applyFont="1" applyAlignment="1">
      <alignment horizontal="left" vertical="center" wrapText="1"/>
    </xf>
    <xf numFmtId="0" fontId="48" fillId="0" borderId="29" xfId="0" applyFont="1" applyBorder="1" applyAlignment="1">
      <alignment horizontal="left" vertical="center" wrapText="1"/>
    </xf>
    <xf numFmtId="0" fontId="48" fillId="0" borderId="30" xfId="0" applyFont="1" applyBorder="1" applyAlignment="1">
      <alignment horizontal="left" vertical="center" wrapText="1"/>
    </xf>
    <xf numFmtId="0" fontId="48" fillId="0" borderId="22" xfId="0" applyFont="1" applyBorder="1" applyAlignment="1">
      <alignment horizontal="left" vertical="center" wrapText="1"/>
    </xf>
    <xf numFmtId="0" fontId="48" fillId="0" borderId="27" xfId="0" applyFont="1" applyBorder="1" applyAlignment="1">
      <alignment horizontal="left" vertical="center" wrapText="1"/>
    </xf>
    <xf numFmtId="177" fontId="0" fillId="0" borderId="0" xfId="0" applyNumberFormat="1">
      <alignment vertical="center"/>
    </xf>
    <xf numFmtId="0" fontId="51" fillId="0" borderId="0" xfId="0" applyFont="1" applyAlignment="1">
      <alignment horizontal="center" vertical="center" wrapText="1"/>
    </xf>
    <xf numFmtId="177" fontId="51" fillId="0" borderId="0" xfId="0" applyNumberFormat="1" applyFont="1" applyAlignment="1">
      <alignment horizontal="center" vertical="center" wrapText="1"/>
    </xf>
    <xf numFmtId="0" fontId="52" fillId="0" borderId="0" xfId="0" applyFont="1" applyAlignment="1">
      <alignment horizontal="center" vertical="center" wrapText="1"/>
    </xf>
    <xf numFmtId="177" fontId="52" fillId="0" borderId="0" xfId="0" applyNumberFormat="1" applyFont="1" applyAlignment="1">
      <alignment horizontal="left" vertical="center" wrapText="1"/>
    </xf>
    <xf numFmtId="0" fontId="53" fillId="0" borderId="22" xfId="0" applyFont="1" applyBorder="1" applyAlignment="1">
      <alignment horizontal="center" vertical="center" wrapText="1"/>
    </xf>
    <xf numFmtId="177" fontId="53" fillId="0" borderId="22" xfId="0" applyNumberFormat="1" applyFont="1" applyBorder="1" applyAlignment="1">
      <alignment horizontal="center" vertical="center" wrapText="1"/>
    </xf>
    <xf numFmtId="0" fontId="54" fillId="0" borderId="26" xfId="0" applyFont="1" applyBorder="1" applyAlignment="1">
      <alignment horizontal="center" vertical="center" wrapText="1"/>
    </xf>
    <xf numFmtId="0" fontId="54" fillId="0" borderId="27" xfId="0" applyFont="1" applyBorder="1" applyAlignment="1">
      <alignment horizontal="center" vertical="center" wrapText="1"/>
    </xf>
    <xf numFmtId="177" fontId="54" fillId="0" borderId="27" xfId="0" applyNumberFormat="1" applyFont="1" applyBorder="1" applyAlignment="1">
      <alignment horizontal="center" vertical="center" wrapText="1"/>
    </xf>
    <xf numFmtId="0" fontId="54" fillId="0" borderId="27" xfId="0" applyFont="1" applyBorder="1" applyAlignment="1">
      <alignment horizontal="left" vertical="center" wrapText="1"/>
    </xf>
    <xf numFmtId="177" fontId="55" fillId="0" borderId="27" xfId="0" applyNumberFormat="1" applyFont="1" applyBorder="1" applyAlignment="1">
      <alignment horizontal="center" vertical="center" wrapText="1"/>
    </xf>
    <xf numFmtId="0" fontId="56" fillId="0" borderId="27" xfId="0" applyFont="1" applyBorder="1" applyAlignment="1">
      <alignment horizontal="left" vertical="center" wrapText="1"/>
    </xf>
    <xf numFmtId="177" fontId="57" fillId="0" borderId="27" xfId="0" applyNumberFormat="1" applyFont="1" applyBorder="1" applyAlignment="1">
      <alignment horizontal="center" vertical="center" wrapText="1"/>
    </xf>
    <xf numFmtId="177" fontId="57" fillId="0" borderId="31" xfId="0" applyNumberFormat="1" applyFont="1" applyBorder="1" applyAlignment="1">
      <alignment horizontal="center" vertical="center" wrapText="1"/>
    </xf>
    <xf numFmtId="177" fontId="58" fillId="0" borderId="27" xfId="0" applyNumberFormat="1" applyFont="1" applyBorder="1" applyAlignment="1">
      <alignment horizontal="center" vertical="center" wrapText="1"/>
    </xf>
    <xf numFmtId="0" fontId="56" fillId="0" borderId="26" xfId="0" applyFont="1" applyBorder="1" applyAlignment="1">
      <alignment horizontal="center" vertical="center" wrapText="1"/>
    </xf>
    <xf numFmtId="10" fontId="0" fillId="0" borderId="0" xfId="3" applyNumberFormat="1">
      <alignment vertical="center"/>
    </xf>
    <xf numFmtId="0" fontId="56" fillId="0" borderId="27" xfId="0" applyFont="1" applyBorder="1" applyAlignment="1">
      <alignment horizontal="justify" vertical="center" wrapText="1"/>
    </xf>
    <xf numFmtId="0" fontId="54" fillId="0" borderId="26" xfId="0" applyFont="1" applyBorder="1" applyAlignment="1">
      <alignment horizontal="left" vertical="center" wrapText="1"/>
    </xf>
    <xf numFmtId="10" fontId="55" fillId="0" borderId="27" xfId="3" applyNumberFormat="1" applyFont="1" applyBorder="1" applyAlignment="1">
      <alignment horizontal="center" vertical="center" wrapText="1"/>
    </xf>
    <xf numFmtId="182" fontId="0" fillId="0" borderId="0" xfId="3" applyNumberFormat="1">
      <alignment vertical="center"/>
    </xf>
    <xf numFmtId="177" fontId="58" fillId="0" borderId="31" xfId="0" applyNumberFormat="1" applyFont="1" applyBorder="1" applyAlignment="1">
      <alignment horizontal="center" vertical="center" wrapText="1"/>
    </xf>
    <xf numFmtId="0" fontId="0" fillId="4" borderId="0" xfId="0" applyFill="1">
      <alignment vertical="center"/>
    </xf>
    <xf numFmtId="0" fontId="59" fillId="0" borderId="0" xfId="0" applyFont="1" applyAlignment="1">
      <alignment horizontal="center" vertical="center" wrapText="1"/>
    </xf>
    <xf numFmtId="0" fontId="60" fillId="0" borderId="0" xfId="0" applyFont="1" applyAlignment="1">
      <alignment horizontal="center" vertical="center" wrapText="1"/>
    </xf>
    <xf numFmtId="0" fontId="61" fillId="0" borderId="0" xfId="0" applyFont="1" applyAlignment="1">
      <alignment horizontal="justify" vertical="center" wrapText="1"/>
    </xf>
    <xf numFmtId="0" fontId="62" fillId="0" borderId="0" xfId="0" applyFont="1" applyAlignment="1">
      <alignment horizontal="center" vertical="center" wrapText="1"/>
    </xf>
    <xf numFmtId="0" fontId="63" fillId="0" borderId="32" xfId="0" applyFont="1" applyBorder="1" applyAlignment="1">
      <alignment horizontal="center" vertical="center" wrapText="1"/>
    </xf>
    <xf numFmtId="0" fontId="64" fillId="0" borderId="32" xfId="0" applyFont="1" applyBorder="1" applyAlignment="1">
      <alignment horizontal="center" vertical="center" wrapText="1"/>
    </xf>
    <xf numFmtId="0" fontId="65" fillId="0" borderId="32" xfId="0" applyFont="1" applyBorder="1" applyAlignment="1">
      <alignment horizontal="center" vertical="center" wrapText="1"/>
    </xf>
    <xf numFmtId="0" fontId="66" fillId="0" borderId="32" xfId="0" applyFont="1" applyBorder="1" applyAlignment="1">
      <alignment horizontal="center" vertical="center" wrapText="1"/>
    </xf>
    <xf numFmtId="0" fontId="63" fillId="0" borderId="32" xfId="0" applyFont="1" applyBorder="1" applyAlignment="1">
      <alignment horizontal="right" vertical="center" wrapText="1"/>
    </xf>
    <xf numFmtId="0" fontId="67" fillId="0" borderId="32" xfId="0" applyFont="1" applyBorder="1" applyAlignment="1">
      <alignment horizontal="center" vertical="center" wrapText="1"/>
    </xf>
    <xf numFmtId="0" fontId="67" fillId="8" borderId="32" xfId="0" applyFont="1" applyFill="1" applyBorder="1" applyAlignment="1">
      <alignment horizontal="center" vertical="center" wrapText="1"/>
    </xf>
    <xf numFmtId="0" fontId="68" fillId="0" borderId="32" xfId="0" applyFont="1" applyBorder="1" applyAlignment="1">
      <alignment horizontal="center" vertical="center" wrapText="1"/>
    </xf>
    <xf numFmtId="177" fontId="67" fillId="8" borderId="32" xfId="0" applyNumberFormat="1" applyFont="1" applyFill="1" applyBorder="1" applyAlignment="1">
      <alignment horizontal="center" vertical="center" wrapText="1"/>
    </xf>
    <xf numFmtId="9" fontId="0" fillId="0" borderId="0" xfId="0" applyNumberFormat="1">
      <alignment vertical="center"/>
    </xf>
    <xf numFmtId="0" fontId="68" fillId="0" borderId="32" xfId="0" applyFont="1" applyFill="1" applyBorder="1" applyAlignment="1">
      <alignment horizontal="center" vertical="center" wrapText="1"/>
    </xf>
    <xf numFmtId="9" fontId="68" fillId="0" borderId="32" xfId="3" applyFont="1" applyBorder="1" applyAlignment="1">
      <alignment horizontal="center" vertical="center" wrapText="1"/>
    </xf>
    <xf numFmtId="0" fontId="68" fillId="0" borderId="32" xfId="0" applyFont="1" applyBorder="1" applyAlignment="1">
      <alignment horizontal="justify" vertical="center" wrapText="1"/>
    </xf>
    <xf numFmtId="0" fontId="69" fillId="0" borderId="32" xfId="0" applyFont="1" applyBorder="1" applyAlignment="1">
      <alignment horizontal="center" vertical="center" wrapText="1"/>
    </xf>
    <xf numFmtId="177" fontId="70" fillId="8" borderId="32" xfId="0" applyNumberFormat="1" applyFont="1" applyFill="1" applyBorder="1" applyAlignment="1">
      <alignment horizontal="center" vertical="center" wrapText="1"/>
    </xf>
    <xf numFmtId="0" fontId="69" fillId="0" borderId="32" xfId="0" applyFont="1" applyBorder="1" applyAlignment="1">
      <alignment horizontal="justify" vertical="center" wrapText="1"/>
    </xf>
    <xf numFmtId="0" fontId="67" fillId="4" borderId="32" xfId="0" applyFont="1" applyFill="1" applyBorder="1" applyAlignment="1">
      <alignment horizontal="center" vertical="center" wrapText="1"/>
    </xf>
    <xf numFmtId="177" fontId="67" fillId="0" borderId="32" xfId="0" applyNumberFormat="1" applyFont="1" applyFill="1" applyBorder="1" applyAlignment="1">
      <alignment horizontal="center" vertical="center" wrapText="1"/>
    </xf>
    <xf numFmtId="0" fontId="67" fillId="0" borderId="33" xfId="0" applyFont="1" applyBorder="1" applyAlignment="1">
      <alignment horizontal="center" vertical="center" wrapText="1"/>
    </xf>
    <xf numFmtId="0" fontId="68" fillId="0" borderId="34" xfId="0" applyFont="1" applyBorder="1" applyAlignment="1">
      <alignment horizontal="center" vertical="center" wrapText="1"/>
    </xf>
    <xf numFmtId="0" fontId="68" fillId="0" borderId="35" xfId="0" applyFont="1" applyBorder="1" applyAlignment="1">
      <alignment horizontal="center" vertical="center" wrapText="1"/>
    </xf>
    <xf numFmtId="0" fontId="68" fillId="0" borderId="36" xfId="0" applyFont="1" applyBorder="1" applyAlignment="1">
      <alignment horizontal="center" vertical="center" wrapText="1"/>
    </xf>
    <xf numFmtId="177" fontId="67" fillId="8" borderId="36" xfId="0" applyNumberFormat="1" applyFont="1" applyFill="1" applyBorder="1" applyAlignment="1">
      <alignment horizontal="center" vertical="center" wrapText="1"/>
    </xf>
    <xf numFmtId="0" fontId="68" fillId="0" borderId="37" xfId="0" applyFont="1" applyBorder="1" applyAlignment="1">
      <alignment horizontal="center" vertical="center" wrapText="1"/>
    </xf>
    <xf numFmtId="0" fontId="68" fillId="0" borderId="38" xfId="0" applyFont="1" applyBorder="1" applyAlignment="1">
      <alignment horizontal="left" vertical="center" wrapText="1"/>
    </xf>
    <xf numFmtId="0" fontId="68" fillId="0" borderId="0" xfId="0" applyFont="1" applyBorder="1" applyAlignment="1">
      <alignment horizontal="left" vertical="center" wrapText="1"/>
    </xf>
    <xf numFmtId="0" fontId="68" fillId="0" borderId="39" xfId="0" applyFont="1" applyBorder="1" applyAlignment="1">
      <alignment horizontal="left" vertical="center" wrapText="1"/>
    </xf>
    <xf numFmtId="0" fontId="68" fillId="0" borderId="40" xfId="0" applyFont="1" applyBorder="1" applyAlignment="1">
      <alignment horizontal="center" vertical="center" wrapText="1"/>
    </xf>
    <xf numFmtId="0" fontId="68" fillId="0" borderId="41" xfId="0" applyFont="1" applyBorder="1" applyAlignment="1">
      <alignment horizontal="center" vertical="center" wrapText="1"/>
    </xf>
    <xf numFmtId="0" fontId="68" fillId="0" borderId="42" xfId="0" applyFont="1" applyBorder="1" applyAlignment="1">
      <alignment horizontal="left" vertical="center" wrapText="1"/>
    </xf>
    <xf numFmtId="0" fontId="68" fillId="0" borderId="43" xfId="0" applyFont="1" applyBorder="1" applyAlignment="1">
      <alignment horizontal="center" vertical="center" wrapText="1"/>
    </xf>
    <xf numFmtId="0" fontId="68" fillId="0" borderId="44" xfId="0" applyFont="1" applyBorder="1" applyAlignment="1">
      <alignment horizontal="left" vertical="center" wrapText="1"/>
    </xf>
    <xf numFmtId="0" fontId="68" fillId="0" borderId="31" xfId="0" applyFont="1" applyBorder="1" applyAlignment="1">
      <alignment horizontal="left" vertical="center" wrapText="1"/>
    </xf>
    <xf numFmtId="0" fontId="67" fillId="0" borderId="45" xfId="0" applyFont="1" applyBorder="1" applyAlignment="1">
      <alignment horizontal="center" vertical="center" wrapText="1"/>
    </xf>
    <xf numFmtId="0" fontId="66" fillId="0" borderId="32" xfId="0" applyFont="1" applyBorder="1" applyAlignment="1">
      <alignment horizontal="left" wrapText="1"/>
    </xf>
    <xf numFmtId="0" fontId="71" fillId="0" borderId="32" xfId="0" applyFont="1" applyBorder="1" applyAlignment="1">
      <alignment horizontal="center"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 name="Normal"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tyles" Target="styles.xml"/><Relationship Id="rId25" Type="http://schemas.openxmlformats.org/officeDocument/2006/relationships/sharedStrings" Target="sharedStrings.xml"/><Relationship Id="rId24" Type="http://schemas.openxmlformats.org/officeDocument/2006/relationships/theme" Target="theme/theme1.xml"/><Relationship Id="rId23" Type="http://schemas.openxmlformats.org/officeDocument/2006/relationships/externalLink" Target="externalLinks/externalLink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ROM%20NOW%20ON\1&#24037;&#31243;&#31649;&#29702;\39&#12289;&#23453;&#22612;~&#38706;&#35199;&#960;&#20837;&#25991;&#21326;&#21464;110kV&#32447;&#36335;&#24037;&#31243;\2.&#25104;&#26412;&#35745;&#21010;&#21333;&#12289;&#26045;&#24037;&#22270;&#32440;&#12289;&#23457;&#23450;&#39044;&#31639;\&#23453;&#22612;~&#38706;&#35199;&#960;&#20837;&#25991;&#21326;&#21464;110kV&#32447;&#36335;&#24037;&#31243;-&#25104;&#26412;&#35745;&#21010;&#2133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计划单"/>
      <sheetName val="毛利率计算表"/>
      <sheetName val="物资表-设备"/>
      <sheetName val="物资表-装材"/>
      <sheetName val="物资表-土建"/>
      <sheetName val="依据1号文计算分包费用"/>
      <sheetName val="基础分包测算成本对比 "/>
      <sheetName val="基础混凝土统计表"/>
      <sheetName val="组塔分包测算成本对比"/>
      <sheetName val="架线分包测算成本对比 "/>
      <sheetName val="2.机械使用费用暂列"/>
      <sheetName val="3.跨越架费用明细"/>
      <sheetName val="4.其他费用明细表"/>
      <sheetName val="5.其他框架费用明细"/>
      <sheetName val="跨越铁路高速咨询费"/>
      <sheetName val="工程检测费"/>
      <sheetName val="架空输电线路工程乙供主材价差汇总表"/>
      <sheetName val="架空输电线路安装工程汇总概算表"/>
      <sheetName val="架空输电线路单位工程预算表"/>
      <sheetName val="架空输电线路单位工程预算表（余物清理表三） (2)"/>
      <sheetName val="架空输电线路单位工程预算表（余物清理表三）"/>
    </sheetNames>
    <sheetDataSet>
      <sheetData sheetId="0">
        <row r="4">
          <cell r="D4" t="str">
            <v>宝塔~露西π入文华变110kV线路工程</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O65"/>
  <sheetViews>
    <sheetView view="pageBreakPreview" zoomScale="70" zoomScaleNormal="85" workbookViewId="0">
      <selection activeCell="D4" sqref="D4:G4"/>
    </sheetView>
  </sheetViews>
  <sheetFormatPr defaultColWidth="9" defaultRowHeight="13.5"/>
  <cols>
    <col min="1" max="1" width="13.2333333333333" customWidth="1"/>
    <col min="3" max="3" width="33.3666666666667" customWidth="1"/>
    <col min="4" max="4" width="44.0916666666667" customWidth="1"/>
    <col min="5" max="5" width="23.925" customWidth="1"/>
    <col min="6" max="6" width="14.2833333333333" customWidth="1"/>
    <col min="7" max="7" width="39.2833333333333" customWidth="1"/>
    <col min="9" max="9" width="12.8166666666667"/>
    <col min="10" max="10" width="12.625"/>
    <col min="11" max="11" width="10.375"/>
  </cols>
  <sheetData>
    <row r="1" ht="31.5" spans="1:9">
      <c r="A1" s="395" t="s">
        <v>0</v>
      </c>
      <c r="B1" s="396"/>
      <c r="C1" s="396"/>
      <c r="D1" s="396"/>
      <c r="E1" s="396"/>
      <c r="F1" s="396"/>
      <c r="G1" s="396"/>
    </row>
    <row r="2" ht="19.5" spans="1:9">
      <c r="A2" s="397"/>
      <c r="B2" s="397"/>
      <c r="C2" s="397"/>
      <c r="D2" s="397"/>
      <c r="E2" s="397"/>
      <c r="F2" s="398" t="s">
        <v>1</v>
      </c>
      <c r="G2" s="398"/>
    </row>
    <row r="3" ht="24" spans="1:9">
      <c r="A3" s="399" t="s">
        <v>2</v>
      </c>
      <c r="B3" s="399"/>
      <c r="C3" s="399"/>
      <c r="D3" s="400" t="s">
        <v>3</v>
      </c>
      <c r="E3" s="399" t="s">
        <v>4</v>
      </c>
      <c r="F3" s="401"/>
      <c r="G3" s="401"/>
    </row>
    <row r="4" ht="24" spans="1:9">
      <c r="A4" s="399" t="s">
        <v>5</v>
      </c>
      <c r="B4" s="399"/>
      <c r="C4" s="399"/>
      <c r="D4" s="402" t="s">
        <v>6</v>
      </c>
      <c r="E4" s="402"/>
      <c r="F4" s="402"/>
      <c r="G4" s="402"/>
    </row>
    <row r="5" ht="21.75" spans="1:9">
      <c r="A5" s="403" t="s">
        <v>7</v>
      </c>
      <c r="B5" s="403"/>
      <c r="C5" s="403"/>
      <c r="D5" s="403"/>
      <c r="E5" s="403"/>
      <c r="F5" s="403"/>
      <c r="G5" s="403"/>
    </row>
    <row r="6" ht="78" spans="1:9">
      <c r="A6" s="404" t="s">
        <v>8</v>
      </c>
      <c r="B6" s="404"/>
      <c r="C6" s="404" t="s">
        <v>9</v>
      </c>
      <c r="D6" s="404" t="s">
        <v>10</v>
      </c>
      <c r="E6" s="405" t="s">
        <v>11</v>
      </c>
      <c r="F6" s="404" t="s">
        <v>12</v>
      </c>
      <c r="G6" s="404" t="s">
        <v>13</v>
      </c>
    </row>
    <row r="7" ht="52.5" spans="1:9">
      <c r="A7" s="404" t="s">
        <v>14</v>
      </c>
      <c r="B7" s="406">
        <v>1</v>
      </c>
      <c r="C7" s="406" t="s">
        <v>15</v>
      </c>
      <c r="D7" s="406" t="s">
        <v>16</v>
      </c>
      <c r="E7" s="407">
        <f>'物资表-设备'!I6</f>
        <v>0</v>
      </c>
      <c r="F7" s="406"/>
      <c r="G7" s="406" t="s">
        <v>17</v>
      </c>
      <c r="I7" s="408"/>
    </row>
    <row r="8" ht="27" spans="1:9">
      <c r="A8" s="404"/>
      <c r="B8" s="406">
        <v>2</v>
      </c>
      <c r="C8" s="406" t="s">
        <v>18</v>
      </c>
      <c r="D8" s="406" t="s">
        <v>19</v>
      </c>
      <c r="E8" s="407">
        <f>'物资表-装材'!I11</f>
        <v>63793.25</v>
      </c>
      <c r="F8" s="406"/>
      <c r="G8" s="406" t="s">
        <v>20</v>
      </c>
    </row>
    <row r="9" ht="27" spans="1:9">
      <c r="A9" s="404"/>
      <c r="B9" s="406">
        <v>3</v>
      </c>
      <c r="C9" s="406" t="s">
        <v>21</v>
      </c>
      <c r="D9" s="406" t="s">
        <v>22</v>
      </c>
      <c r="E9" s="405">
        <v>0</v>
      </c>
      <c r="F9" s="406"/>
      <c r="G9" s="406"/>
    </row>
    <row r="10" ht="27" spans="1:9">
      <c r="A10" s="404"/>
      <c r="B10" s="409">
        <v>4</v>
      </c>
      <c r="C10" s="409" t="s">
        <v>23</v>
      </c>
      <c r="D10" s="409" t="s">
        <v>24</v>
      </c>
      <c r="E10" s="407">
        <f>'物资表-土建'!I9</f>
        <v>149139.47875</v>
      </c>
      <c r="F10" s="409"/>
      <c r="G10" s="409" t="s">
        <v>25</v>
      </c>
    </row>
    <row r="11" ht="27" spans="1:9">
      <c r="A11" s="404"/>
      <c r="B11" s="406">
        <v>4.1</v>
      </c>
      <c r="C11" s="406" t="s">
        <v>26</v>
      </c>
      <c r="D11" s="406" t="s">
        <v>27</v>
      </c>
      <c r="E11" s="407">
        <f>0</f>
        <v>0</v>
      </c>
      <c r="F11" s="406"/>
      <c r="G11" s="406"/>
      <c r="I11">
        <v>494328</v>
      </c>
    </row>
    <row r="12" ht="27" spans="1:9">
      <c r="A12" s="404"/>
      <c r="B12" s="406">
        <v>4.2</v>
      </c>
      <c r="C12" s="406" t="s">
        <v>28</v>
      </c>
      <c r="D12" s="406" t="s">
        <v>27</v>
      </c>
      <c r="E12" s="407">
        <f>'物资表-土建'!I9</f>
        <v>149139.47875</v>
      </c>
      <c r="F12" s="406"/>
      <c r="G12" s="406"/>
    </row>
    <row r="13" ht="27" spans="1:9">
      <c r="A13" s="404"/>
      <c r="B13" s="406"/>
      <c r="C13" s="406" t="s">
        <v>29</v>
      </c>
      <c r="D13" s="406"/>
      <c r="E13" s="407">
        <f>E8+E9+E10</f>
        <v>212932.72875</v>
      </c>
      <c r="F13" s="406"/>
      <c r="G13" s="406"/>
    </row>
    <row r="14" ht="52.5" spans="1:9">
      <c r="A14" s="404" t="s">
        <v>30</v>
      </c>
      <c r="B14" s="406">
        <v>1</v>
      </c>
      <c r="C14" s="406" t="s">
        <v>31</v>
      </c>
      <c r="D14" s="406" t="s">
        <v>32</v>
      </c>
      <c r="E14" s="407">
        <f>'基础分包测算成本对比 '!H26</f>
        <v>777641.7276</v>
      </c>
      <c r="F14" s="406"/>
      <c r="G14" s="406" t="s">
        <v>33</v>
      </c>
      <c r="I14">
        <f>E18+E30</f>
        <v>1276092.8881438</v>
      </c>
    </row>
    <row r="15" ht="52.5" spans="1:9">
      <c r="A15" s="404"/>
      <c r="B15" s="406">
        <v>2</v>
      </c>
      <c r="C15" s="406" t="s">
        <v>34</v>
      </c>
      <c r="D15" s="406" t="s">
        <v>35</v>
      </c>
      <c r="E15" s="407">
        <f>组塔分包测算成本对比!H9</f>
        <v>239689.034</v>
      </c>
      <c r="F15" s="406"/>
      <c r="G15" s="406" t="s">
        <v>33</v>
      </c>
    </row>
    <row r="16" ht="52.5" spans="1:9">
      <c r="A16" s="404"/>
      <c r="B16" s="406">
        <v>3</v>
      </c>
      <c r="C16" s="406" t="s">
        <v>36</v>
      </c>
      <c r="D16" s="406" t="s">
        <v>35</v>
      </c>
      <c r="E16" s="407">
        <f>'架线分包测算成本对比 '!H11</f>
        <v>209974.8144</v>
      </c>
      <c r="F16" s="406"/>
      <c r="G16" s="406" t="s">
        <v>33</v>
      </c>
    </row>
    <row r="17" ht="78" hidden="1" spans="1:15">
      <c r="A17" s="404"/>
      <c r="B17" s="406">
        <v>4</v>
      </c>
      <c r="C17" s="406" t="s">
        <v>37</v>
      </c>
      <c r="D17" s="406" t="s">
        <v>32</v>
      </c>
      <c r="E17" s="407">
        <f>依据1号文计算分包费用!H4*0.8</f>
        <v>0</v>
      </c>
      <c r="F17" s="406"/>
      <c r="G17" s="406" t="s">
        <v>38</v>
      </c>
    </row>
    <row r="18" ht="27" spans="1:15">
      <c r="A18" s="404"/>
      <c r="B18" s="406"/>
      <c r="C18" s="406" t="s">
        <v>29</v>
      </c>
      <c r="D18" s="406"/>
      <c r="E18" s="407">
        <f>E14+E15+E17+E16</f>
        <v>1227305.576</v>
      </c>
      <c r="F18" s="410"/>
      <c r="G18" s="410">
        <f>E18/毛利率计算表!C5</f>
        <v>0.437505752998057</v>
      </c>
    </row>
    <row r="19" ht="52.5" spans="1:15">
      <c r="A19" s="404" t="s">
        <v>39</v>
      </c>
      <c r="B19" s="406">
        <v>1</v>
      </c>
      <c r="C19" s="406" t="s">
        <v>40</v>
      </c>
      <c r="D19" s="406" t="s">
        <v>41</v>
      </c>
      <c r="E19" s="407">
        <f>SUM(E20:E25)</f>
        <v>576800</v>
      </c>
      <c r="F19" s="411"/>
      <c r="G19" s="411" t="s">
        <v>42</v>
      </c>
    </row>
    <row r="20" ht="52.5" spans="1:15">
      <c r="A20" s="404"/>
      <c r="B20" s="406">
        <v>1.1</v>
      </c>
      <c r="C20" s="406" t="s">
        <v>43</v>
      </c>
      <c r="D20" s="406"/>
      <c r="E20" s="407">
        <f>'4.其他费用明细表'!D5</f>
        <v>552000</v>
      </c>
      <c r="F20" s="404"/>
      <c r="G20" s="411" t="s">
        <v>42</v>
      </c>
      <c r="K20">
        <v>1123116.8</v>
      </c>
      <c r="O20" t="s">
        <v>44</v>
      </c>
    </row>
    <row r="21" ht="52.5" spans="1:15">
      <c r="A21" s="404"/>
      <c r="B21" s="406">
        <v>1.2</v>
      </c>
      <c r="C21" s="406" t="s">
        <v>45</v>
      </c>
      <c r="D21" s="406"/>
      <c r="E21" s="405">
        <f>'4.其他费用明细表'!D6</f>
        <v>0</v>
      </c>
      <c r="F21" s="404"/>
      <c r="G21" s="411" t="s">
        <v>42</v>
      </c>
    </row>
    <row r="22" ht="52.5" spans="1:15">
      <c r="A22" s="404"/>
      <c r="B22" s="406">
        <v>1.3</v>
      </c>
      <c r="C22" s="406" t="s">
        <v>46</v>
      </c>
      <c r="D22" s="406"/>
      <c r="E22" s="407">
        <f>'4.其他费用明细表'!D7</f>
        <v>8000</v>
      </c>
      <c r="F22" s="404"/>
      <c r="G22" s="411" t="s">
        <v>42</v>
      </c>
    </row>
    <row r="23" ht="52.5" spans="1:15">
      <c r="A23" s="404"/>
      <c r="B23" s="406">
        <v>1.4</v>
      </c>
      <c r="C23" s="406" t="s">
        <v>47</v>
      </c>
      <c r="D23" s="406"/>
      <c r="E23" s="405">
        <f>'4.其他费用明细表'!D8</f>
        <v>0</v>
      </c>
      <c r="F23" s="404"/>
      <c r="G23" s="411" t="s">
        <v>42</v>
      </c>
      <c r="K23" t="s">
        <v>48</v>
      </c>
      <c r="O23" t="s">
        <v>49</v>
      </c>
    </row>
    <row r="24" ht="52.5" spans="1:15">
      <c r="A24" s="404"/>
      <c r="B24" s="406">
        <v>1.5</v>
      </c>
      <c r="C24" s="406" t="s">
        <v>50</v>
      </c>
      <c r="D24" s="406"/>
      <c r="E24" s="407">
        <f>'4.其他费用明细表'!D9</f>
        <v>16800</v>
      </c>
      <c r="F24" s="404"/>
      <c r="G24" s="411" t="s">
        <v>42</v>
      </c>
    </row>
    <row r="25" ht="52.5" spans="1:15">
      <c r="A25" s="404"/>
      <c r="B25" s="406">
        <v>1.6</v>
      </c>
      <c r="C25" s="406" t="s">
        <v>51</v>
      </c>
      <c r="D25" s="406"/>
      <c r="E25" s="405">
        <f>'4.其他费用明细表'!D10</f>
        <v>0</v>
      </c>
      <c r="F25" s="404"/>
      <c r="G25" s="411" t="s">
        <v>42</v>
      </c>
    </row>
    <row r="26" ht="78" spans="1:15">
      <c r="A26" s="404"/>
      <c r="B26" s="406">
        <v>2</v>
      </c>
      <c r="C26" s="406" t="s">
        <v>52</v>
      </c>
      <c r="D26" s="406" t="s">
        <v>53</v>
      </c>
      <c r="E26" s="405">
        <f>'6.跨越咨询费'!F8</f>
        <v>0</v>
      </c>
      <c r="F26" s="404"/>
      <c r="G26" s="411" t="s">
        <v>54</v>
      </c>
    </row>
    <row r="27" ht="49" customHeight="1" spans="1:15">
      <c r="A27" s="404"/>
      <c r="B27" s="406">
        <v>3</v>
      </c>
      <c r="C27" s="406" t="s">
        <v>55</v>
      </c>
      <c r="D27" s="406" t="s">
        <v>53</v>
      </c>
      <c r="E27" s="405">
        <f>'3.跨越架费用明细'!F19</f>
        <v>73031</v>
      </c>
      <c r="F27" s="406"/>
      <c r="G27" s="411" t="s">
        <v>56</v>
      </c>
    </row>
    <row r="28" ht="77" customHeight="1" spans="1:15">
      <c r="A28" s="404"/>
      <c r="B28" s="406">
        <v>4</v>
      </c>
      <c r="C28" s="406" t="s">
        <v>57</v>
      </c>
      <c r="D28" s="406" t="s">
        <v>41</v>
      </c>
      <c r="E28" s="407">
        <f>工程检测费!I31</f>
        <v>33650</v>
      </c>
      <c r="F28" s="411"/>
      <c r="G28" s="411" t="s">
        <v>58</v>
      </c>
    </row>
    <row r="29" ht="38" customHeight="1" spans="1:15">
      <c r="A29" s="404"/>
      <c r="B29" s="406">
        <v>5</v>
      </c>
      <c r="C29" s="406" t="s">
        <v>59</v>
      </c>
      <c r="D29" s="406" t="s">
        <v>41</v>
      </c>
      <c r="E29" s="407">
        <v>0</v>
      </c>
      <c r="F29" s="411"/>
      <c r="G29" s="411" t="s">
        <v>60</v>
      </c>
    </row>
    <row r="30" ht="52.5" spans="1:15">
      <c r="A30" s="404"/>
      <c r="B30" s="406">
        <v>6</v>
      </c>
      <c r="C30" s="406" t="s">
        <v>61</v>
      </c>
      <c r="D30" s="406" t="s">
        <v>41</v>
      </c>
      <c r="E30" s="407">
        <f>'2.机械使用费用暂列'!F10</f>
        <v>48787.3121438</v>
      </c>
      <c r="F30" s="411"/>
      <c r="G30" s="411" t="s">
        <v>62</v>
      </c>
    </row>
    <row r="31" ht="84" customHeight="1" spans="1:15">
      <c r="A31" s="404"/>
      <c r="B31" s="406">
        <v>7</v>
      </c>
      <c r="C31" s="406" t="s">
        <v>63</v>
      </c>
      <c r="D31" s="406" t="s">
        <v>41</v>
      </c>
      <c r="E31" s="407">
        <f>SUM(E32:E35)</f>
        <v>9650</v>
      </c>
      <c r="F31" s="406"/>
      <c r="G31" s="411" t="s">
        <v>64</v>
      </c>
    </row>
    <row r="32" ht="43" customHeight="1" spans="1:15">
      <c r="A32" s="404"/>
      <c r="B32" s="406">
        <v>7.1</v>
      </c>
      <c r="C32" s="406" t="s">
        <v>65</v>
      </c>
      <c r="D32" s="406" t="s">
        <v>41</v>
      </c>
      <c r="E32" s="407">
        <f>'5.其他框架费用明细'!H5</f>
        <v>6600</v>
      </c>
      <c r="F32" s="406"/>
      <c r="G32" s="406" t="s">
        <v>66</v>
      </c>
    </row>
    <row r="33" ht="51" customHeight="1" spans="1:8">
      <c r="A33" s="404"/>
      <c r="B33" s="406">
        <v>7.2</v>
      </c>
      <c r="C33" s="406" t="s">
        <v>67</v>
      </c>
      <c r="D33" s="406" t="s">
        <v>68</v>
      </c>
      <c r="E33" s="407">
        <f>'5.其他框架费用明细'!H6</f>
        <v>3050</v>
      </c>
      <c r="F33" s="406"/>
      <c r="G33" s="406" t="s">
        <v>66</v>
      </c>
    </row>
    <row r="34" ht="52.5" spans="1:8">
      <c r="A34" s="404"/>
      <c r="B34" s="406">
        <v>7.3</v>
      </c>
      <c r="C34" s="406" t="s">
        <v>69</v>
      </c>
      <c r="D34" s="406" t="s">
        <v>70</v>
      </c>
      <c r="E34" s="407">
        <f>'5.其他框架费用明细'!H7</f>
        <v>0</v>
      </c>
      <c r="F34" s="406"/>
      <c r="G34" s="406" t="s">
        <v>66</v>
      </c>
    </row>
    <row r="35" ht="55" customHeight="1" spans="1:8">
      <c r="A35" s="404"/>
      <c r="B35" s="406">
        <v>7.4</v>
      </c>
      <c r="C35" s="406" t="s">
        <v>71</v>
      </c>
      <c r="D35" s="406" t="s">
        <v>68</v>
      </c>
      <c r="E35" s="407">
        <f>'5.其他框架费用明细'!H8</f>
        <v>0</v>
      </c>
      <c r="F35" s="406"/>
      <c r="G35" s="406" t="s">
        <v>66</v>
      </c>
    </row>
    <row r="36" ht="55" customHeight="1" spans="1:8">
      <c r="A36" s="404"/>
      <c r="B36" s="406"/>
      <c r="C36" s="406" t="s">
        <v>29</v>
      </c>
      <c r="D36" s="406"/>
      <c r="E36" s="407">
        <f>E19+E26+E30+E31+E29+E28+E27</f>
        <v>741918.3121438</v>
      </c>
      <c r="F36" s="406"/>
      <c r="G36" s="406"/>
    </row>
    <row r="37" ht="97" customHeight="1" spans="1:8">
      <c r="A37" s="404" t="s">
        <v>72</v>
      </c>
      <c r="B37" s="412">
        <v>1</v>
      </c>
      <c r="C37" s="412" t="s">
        <v>73</v>
      </c>
      <c r="D37" s="412" t="s">
        <v>74</v>
      </c>
      <c r="E37" s="413">
        <f>79423*1.09-'基础分包测算成本对比 '!H19</f>
        <v>76237.87</v>
      </c>
      <c r="F37" s="412"/>
      <c r="G37" s="414" t="s">
        <v>75</v>
      </c>
    </row>
    <row r="38" s="394" customFormat="1" ht="52.5" spans="1:8">
      <c r="A38" s="415"/>
      <c r="B38" s="409">
        <v>2</v>
      </c>
      <c r="C38" s="409" t="s">
        <v>76</v>
      </c>
      <c r="D38" s="409" t="s">
        <v>41</v>
      </c>
      <c r="E38" s="416">
        <f>(4000+5000+2000)*7</f>
        <v>77000</v>
      </c>
      <c r="F38" s="409"/>
      <c r="G38" s="409" t="s">
        <v>77</v>
      </c>
    </row>
    <row r="39" ht="27" spans="1:8">
      <c r="A39" s="404"/>
      <c r="B39" s="409">
        <v>3</v>
      </c>
      <c r="C39" s="409" t="s">
        <v>78</v>
      </c>
      <c r="D39" s="409" t="s">
        <v>41</v>
      </c>
      <c r="E39" s="416">
        <f>372781*0.08*1.09</f>
        <v>32506.5032</v>
      </c>
      <c r="F39" s="409"/>
      <c r="G39" s="409" t="s">
        <v>79</v>
      </c>
    </row>
    <row r="40" ht="27" spans="1:8">
      <c r="A40" s="404"/>
      <c r="B40" s="409">
        <v>4</v>
      </c>
      <c r="C40" s="409" t="s">
        <v>80</v>
      </c>
      <c r="D40" s="409" t="s">
        <v>41</v>
      </c>
      <c r="E40" s="416">
        <f>E39/8*3</f>
        <v>12189.9387</v>
      </c>
      <c r="F40" s="409"/>
      <c r="G40" s="409" t="s">
        <v>81</v>
      </c>
    </row>
    <row r="41" ht="27" spans="1:8">
      <c r="A41" s="404"/>
      <c r="B41" s="406"/>
      <c r="C41" s="406" t="s">
        <v>29</v>
      </c>
      <c r="D41" s="406"/>
      <c r="E41" s="407">
        <f>E37+E38+E39+E40</f>
        <v>197934.3119</v>
      </c>
      <c r="F41" s="406"/>
      <c r="G41" s="406"/>
    </row>
    <row r="42" ht="27" spans="1:8">
      <c r="A42" s="404" t="s">
        <v>82</v>
      </c>
      <c r="B42" s="406">
        <v>1</v>
      </c>
      <c r="C42" s="406" t="s">
        <v>83</v>
      </c>
      <c r="D42" s="406"/>
      <c r="E42" s="405">
        <f>ROUND(毛利率计算表!C5/1.09*0.09,0)</f>
        <v>231625</v>
      </c>
      <c r="F42" s="406"/>
      <c r="G42" s="406" t="s">
        <v>84</v>
      </c>
      <c r="H42" t="s">
        <v>85</v>
      </c>
    </row>
    <row r="43" ht="27" spans="1:8">
      <c r="A43" s="404"/>
      <c r="B43" s="406">
        <v>2</v>
      </c>
      <c r="C43" s="406" t="s">
        <v>86</v>
      </c>
      <c r="D43" s="406"/>
      <c r="E43" s="407">
        <f>ROUND((E7+E8+E9+E10)/1.13*13%+E14/1.09*0.09+E15/1.03*0.03+E16/1.03*0.03+E17/1.09*0.09,0)+(E40)/1.03*0.03+E38/1.11*0.11+E37/1.09*0.09+E39/1.03*0.03+E36/1.09*0.09</f>
        <v>178289.648921234</v>
      </c>
      <c r="F43" s="406"/>
      <c r="G43" s="406"/>
      <c r="H43" t="s">
        <v>87</v>
      </c>
    </row>
    <row r="44" ht="27" spans="1:8">
      <c r="A44" s="404"/>
      <c r="B44" s="406"/>
      <c r="C44" s="406" t="s">
        <v>29</v>
      </c>
      <c r="D44" s="406"/>
      <c r="E44" s="407">
        <f>E42-E43</f>
        <v>53335.3510787661</v>
      </c>
      <c r="F44" s="406"/>
      <c r="G44" s="406"/>
    </row>
    <row r="45" ht="27" spans="1:8">
      <c r="A45" s="404" t="s">
        <v>88</v>
      </c>
      <c r="B45" s="406">
        <v>1</v>
      </c>
      <c r="C45" s="406" t="s">
        <v>89</v>
      </c>
      <c r="D45" s="406" t="s">
        <v>90</v>
      </c>
      <c r="E45" s="405"/>
      <c r="F45" s="406"/>
      <c r="G45" s="406"/>
    </row>
    <row r="46" ht="27" spans="1:8">
      <c r="A46" s="404"/>
      <c r="B46" s="406">
        <v>2</v>
      </c>
      <c r="C46" s="406" t="s">
        <v>91</v>
      </c>
      <c r="D46" s="406" t="s">
        <v>90</v>
      </c>
      <c r="E46" s="405"/>
      <c r="F46" s="406"/>
      <c r="G46" s="406"/>
    </row>
    <row r="47" ht="27" spans="1:8">
      <c r="A47" s="404"/>
      <c r="B47" s="406">
        <v>3</v>
      </c>
      <c r="C47" s="406" t="s">
        <v>92</v>
      </c>
      <c r="D47" s="406" t="s">
        <v>90</v>
      </c>
      <c r="E47" s="405"/>
      <c r="F47" s="406"/>
      <c r="G47" s="406"/>
    </row>
    <row r="48" ht="27" spans="1:8">
      <c r="A48" s="404"/>
      <c r="B48" s="406">
        <v>4</v>
      </c>
      <c r="C48" s="406" t="s">
        <v>93</v>
      </c>
      <c r="D48" s="406"/>
      <c r="E48" s="405">
        <v>0</v>
      </c>
      <c r="F48" s="406"/>
      <c r="G48" s="406" t="s">
        <v>94</v>
      </c>
    </row>
    <row r="49" ht="27" spans="1:12">
      <c r="A49" s="417"/>
      <c r="B49" s="406"/>
      <c r="C49" s="406" t="s">
        <v>29</v>
      </c>
      <c r="D49" s="406"/>
      <c r="E49" s="405">
        <f>E48+E47+E46+E45</f>
        <v>0</v>
      </c>
      <c r="F49" s="406"/>
      <c r="G49" s="406"/>
      <c r="H49" t="s">
        <v>95</v>
      </c>
      <c r="I49" t="s">
        <v>96</v>
      </c>
      <c r="J49" t="s">
        <v>97</v>
      </c>
      <c r="K49" t="s">
        <v>98</v>
      </c>
      <c r="L49" t="s">
        <v>99</v>
      </c>
    </row>
    <row r="50" ht="27" spans="1:12">
      <c r="A50" s="418"/>
      <c r="B50" s="419"/>
      <c r="C50" s="420" t="s">
        <v>100</v>
      </c>
      <c r="D50" s="420"/>
      <c r="E50" s="421">
        <f>E13+E18+E36+E41+E44+E49</f>
        <v>2433426.27987257</v>
      </c>
      <c r="F50" s="420"/>
      <c r="G50" s="420" t="s">
        <v>101</v>
      </c>
      <c r="H50">
        <v>9</v>
      </c>
      <c r="I50">
        <v>55</v>
      </c>
      <c r="J50">
        <v>9</v>
      </c>
      <c r="K50">
        <v>27</v>
      </c>
      <c r="L50">
        <v>0</v>
      </c>
    </row>
    <row r="51" ht="25.5" spans="1:12">
      <c r="A51" s="422" t="s">
        <v>102</v>
      </c>
      <c r="B51" s="423" t="s">
        <v>103</v>
      </c>
      <c r="C51" s="424"/>
      <c r="D51" s="424"/>
      <c r="E51" s="424"/>
      <c r="F51" s="424"/>
      <c r="G51" s="425"/>
    </row>
    <row r="52" ht="25.5" spans="1:12">
      <c r="A52" s="426"/>
      <c r="B52" s="424" t="s">
        <v>104</v>
      </c>
      <c r="C52" s="424"/>
      <c r="D52" s="424"/>
      <c r="E52" s="424"/>
      <c r="F52" s="424"/>
      <c r="G52" s="425"/>
    </row>
    <row r="53" ht="25.5" spans="1:12">
      <c r="A53" s="427"/>
      <c r="B53" s="428" t="s">
        <v>105</v>
      </c>
      <c r="C53" s="424"/>
      <c r="D53" s="424"/>
      <c r="E53" s="424"/>
      <c r="F53" s="424"/>
      <c r="G53" s="425"/>
    </row>
    <row r="54" ht="56" customHeight="1" spans="1:12">
      <c r="A54" s="426"/>
      <c r="B54" s="424" t="s">
        <v>106</v>
      </c>
      <c r="C54" s="424"/>
      <c r="D54" s="424"/>
      <c r="E54" s="424"/>
      <c r="F54" s="424"/>
      <c r="G54" s="425"/>
    </row>
    <row r="55" ht="50" customHeight="1" spans="1:12">
      <c r="A55" s="426"/>
      <c r="B55" s="424" t="s">
        <v>107</v>
      </c>
      <c r="C55" s="424"/>
      <c r="D55" s="424"/>
      <c r="E55" s="424"/>
      <c r="F55" s="424"/>
      <c r="G55" s="425"/>
    </row>
    <row r="56" ht="25.5" spans="1:12">
      <c r="A56" s="426"/>
      <c r="B56" s="424" t="s">
        <v>108</v>
      </c>
      <c r="C56" s="424"/>
      <c r="D56" s="424"/>
      <c r="E56" s="424"/>
      <c r="F56" s="424"/>
      <c r="G56" s="425"/>
    </row>
    <row r="57" ht="26.25" spans="1:12">
      <c r="A57" s="429"/>
      <c r="B57" s="430" t="str">
        <f>"7、本工程已按照"&amp;H49&amp;H50&amp;"%"&amp;"、"&amp;I49&amp;I50&amp;"%"&amp;"、"&amp;J49&amp;J50&amp;"%"&amp;"、"&amp;K49&amp;K50&amp;"%"&amp;"、"&amp;L49&amp;L50&amp;"%"&amp;"的综合地形调整分包单价"</f>
        <v>7、本工程已按照平地9%、丘陵55%、泥沼9%、山地27%、高山0%的综合地形调整分包单价</v>
      </c>
      <c r="C57" s="430"/>
      <c r="D57" s="430"/>
      <c r="E57" s="430"/>
      <c r="F57" s="430"/>
      <c r="G57" s="431"/>
    </row>
    <row r="58" ht="51" customHeight="1" spans="1:12">
      <c r="A58" s="432" t="s">
        <v>109</v>
      </c>
      <c r="B58" s="432"/>
      <c r="C58" s="432"/>
      <c r="D58" s="432"/>
      <c r="E58" s="432"/>
      <c r="F58" s="432"/>
      <c r="G58" s="432"/>
    </row>
    <row r="59" ht="115" customHeight="1" spans="1:12">
      <c r="A59" s="402" t="s">
        <v>110</v>
      </c>
      <c r="B59" s="402"/>
      <c r="C59" s="402"/>
      <c r="D59" s="433" t="s">
        <v>111</v>
      </c>
      <c r="E59" s="433"/>
      <c r="F59" s="433"/>
      <c r="G59" s="433"/>
    </row>
    <row r="60" ht="117" customHeight="1" spans="1:12">
      <c r="A60" s="402" t="s">
        <v>112</v>
      </c>
      <c r="B60" s="402"/>
      <c r="C60" s="402"/>
      <c r="D60" s="433" t="s">
        <v>113</v>
      </c>
      <c r="E60" s="433"/>
      <c r="F60" s="433"/>
      <c r="G60" s="433"/>
    </row>
    <row r="61" ht="86" customHeight="1" spans="1:12">
      <c r="A61" s="402" t="s">
        <v>114</v>
      </c>
      <c r="B61" s="402"/>
      <c r="C61" s="402"/>
      <c r="D61" s="402"/>
      <c r="E61" s="402"/>
      <c r="F61" s="402"/>
      <c r="G61" s="402"/>
    </row>
    <row r="62" ht="86" customHeight="1" spans="1:12">
      <c r="A62" s="402" t="s">
        <v>115</v>
      </c>
      <c r="B62" s="402"/>
      <c r="C62" s="402"/>
      <c r="D62" s="402"/>
      <c r="E62" s="402"/>
      <c r="F62" s="402"/>
      <c r="G62" s="402"/>
    </row>
    <row r="63" ht="86" customHeight="1" spans="1:12">
      <c r="A63" s="402" t="s">
        <v>116</v>
      </c>
      <c r="B63" s="402"/>
      <c r="C63" s="402"/>
      <c r="D63" s="402"/>
      <c r="E63" s="402"/>
      <c r="F63" s="402"/>
      <c r="G63" s="402"/>
    </row>
    <row r="64" ht="30" customHeight="1" spans="1:12">
      <c r="A64" s="434" t="s">
        <v>117</v>
      </c>
      <c r="B64" s="434"/>
      <c r="C64" s="434"/>
      <c r="D64" s="434"/>
      <c r="E64" s="434"/>
      <c r="F64" s="434"/>
      <c r="G64" s="434"/>
    </row>
    <row r="65" ht="14.25"/>
  </sheetData>
  <mergeCells count="35">
    <mergeCell ref="A1:G1"/>
    <mergeCell ref="A2:E2"/>
    <mergeCell ref="A3:C3"/>
    <mergeCell ref="F3:G3"/>
    <mergeCell ref="A4:C4"/>
    <mergeCell ref="D4:G4"/>
    <mergeCell ref="A5:G5"/>
    <mergeCell ref="A6:B6"/>
    <mergeCell ref="B51:G51"/>
    <mergeCell ref="B52:G52"/>
    <mergeCell ref="B53:G53"/>
    <mergeCell ref="B54:G54"/>
    <mergeCell ref="B55:G55"/>
    <mergeCell ref="B56:G56"/>
    <mergeCell ref="B57:G57"/>
    <mergeCell ref="A58:G58"/>
    <mergeCell ref="A59:C59"/>
    <mergeCell ref="D59:G59"/>
    <mergeCell ref="A60:C60"/>
    <mergeCell ref="D60:G60"/>
    <mergeCell ref="A61:C61"/>
    <mergeCell ref="D61:G61"/>
    <mergeCell ref="A62:C62"/>
    <mergeCell ref="D62:G62"/>
    <mergeCell ref="A63:C63"/>
    <mergeCell ref="D63:G63"/>
    <mergeCell ref="A64:G64"/>
    <mergeCell ref="A7:A13"/>
    <mergeCell ref="A14:A18"/>
    <mergeCell ref="A19:A36"/>
    <mergeCell ref="A37:A41"/>
    <mergeCell ref="A42:A44"/>
    <mergeCell ref="A45:A49"/>
    <mergeCell ref="A51:A57"/>
    <mergeCell ref="G42:G44"/>
  </mergeCells>
  <printOptions horizontalCentered="1"/>
  <pageMargins left="0.700694444444445" right="0.700694444444445" top="0.751388888888889" bottom="0.751388888888889" header="0.297916666666667" footer="0.297916666666667"/>
  <pageSetup paperSize="9" scale="49" fitToHeight="0" orientation="portrait" horizontalDpi="600"/>
  <headerFooter/>
  <rowBreaks count="4" manualBreakCount="4">
    <brk id="33" max="6" man="1"/>
    <brk id="64" max="16383" man="1"/>
    <brk id="64" max="16383" man="1"/>
    <brk id="65"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F29"/>
  <sheetViews>
    <sheetView view="pageBreakPreview" zoomScaleNormal="100" workbookViewId="0">
      <pane ySplit="4" topLeftCell="A15" activePane="bottomLeft" state="frozen"/>
      <selection/>
      <selection pane="bottomLeft" activeCell="C18" sqref="C18"/>
    </sheetView>
  </sheetViews>
  <sheetFormatPr defaultColWidth="9" defaultRowHeight="13.5" outlineLevelCol="5"/>
  <cols>
    <col min="2" max="2" width="19.875" customWidth="1"/>
    <col min="3" max="3" width="22.7583333333333" style="371" customWidth="1"/>
    <col min="4" max="4" width="33.375" customWidth="1"/>
    <col min="5" max="5" width="12.8166666666667"/>
    <col min="6" max="6" width="12.625"/>
  </cols>
  <sheetData>
    <row r="1" ht="19.5" customHeight="1" spans="1:5">
      <c r="A1" s="372" t="str">
        <f>计划单!D4</f>
        <v>***110kV线路工程</v>
      </c>
      <c r="B1" s="372"/>
      <c r="C1" s="373"/>
      <c r="D1" s="372"/>
    </row>
    <row r="2" ht="18" customHeight="1" spans="1:5">
      <c r="A2" s="374" t="s">
        <v>118</v>
      </c>
      <c r="B2" s="374"/>
      <c r="C2" s="375"/>
      <c r="D2" s="374" t="s">
        <v>119</v>
      </c>
    </row>
    <row r="3" ht="15.75" customHeight="1" spans="1:5">
      <c r="A3" s="376" t="s">
        <v>120</v>
      </c>
      <c r="B3" s="376"/>
      <c r="C3" s="377"/>
      <c r="D3" s="376"/>
    </row>
    <row r="4" ht="21" customHeight="1" spans="1:5">
      <c r="A4" s="378" t="s">
        <v>8</v>
      </c>
      <c r="B4" s="379" t="s">
        <v>121</v>
      </c>
      <c r="C4" s="380" t="s">
        <v>122</v>
      </c>
      <c r="D4" s="379" t="s">
        <v>13</v>
      </c>
    </row>
    <row r="5" ht="14.25" spans="1:5">
      <c r="A5" s="378" t="s">
        <v>123</v>
      </c>
      <c r="B5" s="381" t="s">
        <v>124</v>
      </c>
      <c r="C5" s="382">
        <v>2805233</v>
      </c>
      <c r="D5" s="379" t="s">
        <v>125</v>
      </c>
    </row>
    <row r="6" ht="21" customHeight="1" spans="1:5">
      <c r="A6" s="378">
        <v>1.1</v>
      </c>
      <c r="B6" s="383" t="s">
        <v>126</v>
      </c>
      <c r="C6" s="384">
        <f>计划单!E45</f>
        <v>0</v>
      </c>
      <c r="D6" s="383" t="s">
        <v>127</v>
      </c>
    </row>
    <row r="7" ht="21" customHeight="1" spans="1:5">
      <c r="A7" s="378">
        <v>1.2</v>
      </c>
      <c r="B7" s="383" t="s">
        <v>128</v>
      </c>
      <c r="C7" s="385">
        <f>计划单!E46</f>
        <v>0</v>
      </c>
      <c r="D7" s="383" t="s">
        <v>127</v>
      </c>
    </row>
    <row r="8" ht="21" customHeight="1" spans="1:5">
      <c r="A8" s="378">
        <v>1.3</v>
      </c>
      <c r="B8" s="383" t="s">
        <v>129</v>
      </c>
      <c r="C8" s="385">
        <f>计划单!E47</f>
        <v>0</v>
      </c>
      <c r="D8" s="383" t="s">
        <v>127</v>
      </c>
    </row>
    <row r="9" ht="21" customHeight="1" spans="1:5">
      <c r="A9" s="378">
        <v>1.4</v>
      </c>
      <c r="B9" s="383" t="s">
        <v>130</v>
      </c>
      <c r="C9" s="386">
        <v>0</v>
      </c>
      <c r="D9" s="383" t="s">
        <v>131</v>
      </c>
    </row>
    <row r="10" ht="21" customHeight="1" spans="1:5">
      <c r="A10" s="378">
        <v>1.5</v>
      </c>
      <c r="B10" s="383" t="s">
        <v>132</v>
      </c>
      <c r="C10" s="386"/>
      <c r="D10" s="383" t="s">
        <v>133</v>
      </c>
    </row>
    <row r="11" ht="21" customHeight="1" spans="1:5">
      <c r="A11" s="378" t="s">
        <v>134</v>
      </c>
      <c r="B11" s="381" t="s">
        <v>135</v>
      </c>
      <c r="C11" s="382">
        <f>C5-C6-C7-C8-C9</f>
        <v>2805233</v>
      </c>
      <c r="D11" s="383" t="s">
        <v>136</v>
      </c>
    </row>
    <row r="12" ht="21" customHeight="1" spans="1:5">
      <c r="A12" s="378" t="s">
        <v>137</v>
      </c>
      <c r="B12" s="381" t="s">
        <v>138</v>
      </c>
      <c r="C12" s="382">
        <f>C13+C15+C18+C19+C20+C23</f>
        <v>2433426.27987257</v>
      </c>
      <c r="D12" s="383" t="s">
        <v>139</v>
      </c>
    </row>
    <row r="13" ht="21" customHeight="1" spans="1:5">
      <c r="A13" s="387">
        <v>3.1</v>
      </c>
      <c r="B13" s="383" t="s">
        <v>140</v>
      </c>
      <c r="C13" s="386">
        <f>计划单!E18</f>
        <v>1227305.576</v>
      </c>
      <c r="D13" s="383" t="str">
        <f>"分包比例为"&amp;E13*100&amp;"%"</f>
        <v>分包比例为43.7505752998057%</v>
      </c>
      <c r="E13" s="388">
        <f>C13/C11</f>
        <v>0.437505752998057</v>
      </c>
    </row>
    <row r="14" ht="21" customHeight="1" spans="1:5">
      <c r="A14" s="387"/>
      <c r="B14" s="383" t="s">
        <v>141</v>
      </c>
      <c r="C14" s="386">
        <f>C13</f>
        <v>1227305.576</v>
      </c>
      <c r="D14" s="383" t="s">
        <v>142</v>
      </c>
    </row>
    <row r="15" ht="21" customHeight="1" spans="1:5">
      <c r="A15" s="387">
        <v>3.2</v>
      </c>
      <c r="B15" s="383" t="s">
        <v>143</v>
      </c>
      <c r="C15" s="386">
        <f>C16+C17</f>
        <v>212932.72875</v>
      </c>
      <c r="D15" s="383"/>
    </row>
    <row r="16" ht="21" customHeight="1" spans="1:5">
      <c r="A16" s="387"/>
      <c r="B16" s="383" t="s">
        <v>144</v>
      </c>
      <c r="C16" s="386">
        <f>计划单!E13</f>
        <v>212932.72875</v>
      </c>
      <c r="D16" s="383" t="s">
        <v>145</v>
      </c>
    </row>
    <row r="17" ht="21" customHeight="1" spans="1:6">
      <c r="A17" s="387"/>
      <c r="B17" s="383" t="s">
        <v>146</v>
      </c>
      <c r="C17" s="386"/>
      <c r="D17" s="383" t="s">
        <v>147</v>
      </c>
    </row>
    <row r="18" ht="21" customHeight="1" spans="1:6">
      <c r="A18" s="387">
        <v>3.3</v>
      </c>
      <c r="B18" s="383" t="s">
        <v>148</v>
      </c>
      <c r="C18" s="386">
        <f>计划单!E41</f>
        <v>197934.3119</v>
      </c>
      <c r="D18" s="383" t="s">
        <v>149</v>
      </c>
    </row>
    <row r="19" ht="21" customHeight="1" spans="1:6">
      <c r="A19" s="387">
        <v>3.4</v>
      </c>
      <c r="B19" s="383" t="s">
        <v>150</v>
      </c>
      <c r="C19" s="386">
        <f>计划单!E36</f>
        <v>741918.3121438</v>
      </c>
      <c r="D19" s="383" t="s">
        <v>150</v>
      </c>
    </row>
    <row r="20" ht="21" customHeight="1" spans="1:6">
      <c r="A20" s="387">
        <v>3.5</v>
      </c>
      <c r="B20" s="383" t="s">
        <v>151</v>
      </c>
      <c r="C20" s="386">
        <f>C21-C22</f>
        <v>53335.3510787661</v>
      </c>
      <c r="D20" s="383" t="s">
        <v>152</v>
      </c>
    </row>
    <row r="21" ht="21" customHeight="1" spans="1:6">
      <c r="A21" s="378"/>
      <c r="B21" s="383" t="s">
        <v>83</v>
      </c>
      <c r="C21" s="386">
        <f>计划单!E42</f>
        <v>231625</v>
      </c>
      <c r="D21" s="383" t="s">
        <v>153</v>
      </c>
    </row>
    <row r="22" ht="21" customHeight="1" spans="1:6">
      <c r="A22" s="378"/>
      <c r="B22" s="383" t="s">
        <v>86</v>
      </c>
      <c r="C22" s="386">
        <f>计划单!E43</f>
        <v>178289.648921234</v>
      </c>
      <c r="D22" s="383"/>
    </row>
    <row r="23" ht="14.25" spans="1:6">
      <c r="A23" s="387">
        <v>4</v>
      </c>
      <c r="B23" s="389" t="s">
        <v>93</v>
      </c>
      <c r="C23" s="386">
        <f>计划单!E48</f>
        <v>0</v>
      </c>
      <c r="D23" s="383"/>
    </row>
    <row r="24" ht="24.75" spans="1:6">
      <c r="A24" s="390" t="s">
        <v>154</v>
      </c>
      <c r="B24" s="381" t="s">
        <v>155</v>
      </c>
      <c r="C24" s="382">
        <f>C11-C12</f>
        <v>371806.720127434</v>
      </c>
      <c r="D24" s="383" t="s">
        <v>156</v>
      </c>
    </row>
    <row r="25" ht="21" customHeight="1" spans="1:6">
      <c r="A25" s="390" t="s">
        <v>157</v>
      </c>
      <c r="B25" s="381" t="s">
        <v>158</v>
      </c>
      <c r="C25" s="391">
        <f>C24/C11</f>
        <v>0.132540405779995</v>
      </c>
      <c r="D25" s="383" t="s">
        <v>159</v>
      </c>
    </row>
    <row r="26" ht="21" customHeight="1" spans="1:6">
      <c r="A26" s="390" t="s">
        <v>160</v>
      </c>
      <c r="B26" s="381" t="s">
        <v>92</v>
      </c>
      <c r="C26" s="386">
        <f>C28+C27+C29</f>
        <v>0</v>
      </c>
      <c r="D26" s="383"/>
      <c r="F26" s="392"/>
    </row>
    <row r="27" ht="21" customHeight="1" spans="1:6">
      <c r="A27" s="387">
        <v>6.1</v>
      </c>
      <c r="B27" s="383" t="s">
        <v>89</v>
      </c>
      <c r="C27" s="386"/>
      <c r="D27" s="383" t="s">
        <v>127</v>
      </c>
    </row>
    <row r="28" ht="21" customHeight="1" spans="1:6">
      <c r="A28" s="387">
        <v>6.2</v>
      </c>
      <c r="B28" s="383" t="s">
        <v>91</v>
      </c>
      <c r="C28" s="393"/>
      <c r="D28" s="383" t="s">
        <v>127</v>
      </c>
    </row>
    <row r="29" ht="21" customHeight="1" spans="1:6">
      <c r="A29" s="387">
        <v>6.3</v>
      </c>
      <c r="B29" s="383" t="s">
        <v>92</v>
      </c>
      <c r="C29" s="385">
        <f>C8+C9</f>
        <v>0</v>
      </c>
      <c r="D29" s="383" t="s">
        <v>127</v>
      </c>
    </row>
  </sheetData>
  <mergeCells count="3">
    <mergeCell ref="A1:D1"/>
    <mergeCell ref="A2:B2"/>
    <mergeCell ref="A3:D3"/>
  </mergeCells>
  <printOptions horizontalCentered="1" verticalCentered="1"/>
  <pageMargins left="0.700694444444445" right="0.700694444444445" top="0.751388888888889" bottom="0.751388888888889" header="0.297916666666667" footer="0.297916666666667"/>
  <pageSetup paperSize="9" orientation="portrait"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J11"/>
  <sheetViews>
    <sheetView view="pageBreakPreview" zoomScaleNormal="100" workbookViewId="0">
      <selection activeCell="D17" sqref="D17"/>
    </sheetView>
  </sheetViews>
  <sheetFormatPr defaultColWidth="9" defaultRowHeight="13.5"/>
  <cols>
    <col min="2" max="2" width="27.375" customWidth="1"/>
    <col min="6" max="6" width="11.5"/>
    <col min="7" max="7" width="12.625"/>
    <col min="8" max="8" width="11.5"/>
    <col min="9" max="9" width="15.375" customWidth="1"/>
    <col min="10" max="10" width="16.125" customWidth="1"/>
  </cols>
  <sheetData>
    <row r="1" ht="22.5" customHeight="1" spans="1:10">
      <c r="A1" s="318" t="str">
        <f>'物资表-装材'!A1</f>
        <v>***110kV线路工程-物资采购控制价审批表</v>
      </c>
      <c r="B1" s="318"/>
      <c r="C1" s="318"/>
      <c r="D1" s="318"/>
      <c r="E1" s="318"/>
      <c r="F1" s="318"/>
      <c r="G1" s="318"/>
      <c r="H1" s="318"/>
      <c r="I1" s="318"/>
      <c r="J1" s="318"/>
    </row>
    <row r="2" ht="58.5" customHeight="1" spans="1:10">
      <c r="A2" s="319"/>
      <c r="B2" s="320" t="s">
        <v>161</v>
      </c>
      <c r="C2" s="347"/>
      <c r="D2" s="347"/>
      <c r="E2" s="347"/>
      <c r="F2" s="322"/>
      <c r="G2" s="322"/>
      <c r="H2" s="348"/>
      <c r="I2" s="348"/>
      <c r="J2" s="322" t="s">
        <v>162</v>
      </c>
    </row>
    <row r="3" ht="29.25" customHeight="1" spans="1:10">
      <c r="A3" s="349"/>
      <c r="B3" s="350" t="s">
        <v>163</v>
      </c>
      <c r="C3" s="350"/>
      <c r="D3" s="350"/>
      <c r="E3" s="350"/>
      <c r="F3" s="350" t="s">
        <v>164</v>
      </c>
      <c r="G3" s="350"/>
      <c r="H3" s="350" t="s">
        <v>165</v>
      </c>
      <c r="I3" s="350"/>
      <c r="J3" s="351" t="s">
        <v>13</v>
      </c>
    </row>
    <row r="4" ht="15.75" customHeight="1" spans="1:10">
      <c r="A4" s="352" t="s">
        <v>8</v>
      </c>
      <c r="B4" s="353" t="s">
        <v>166</v>
      </c>
      <c r="C4" s="353" t="s">
        <v>167</v>
      </c>
      <c r="D4" s="353" t="s">
        <v>168</v>
      </c>
      <c r="E4" s="350" t="s">
        <v>169</v>
      </c>
      <c r="F4" s="350" t="s">
        <v>170</v>
      </c>
      <c r="G4" s="350" t="s">
        <v>171</v>
      </c>
      <c r="H4" s="350" t="s">
        <v>170</v>
      </c>
      <c r="I4" s="350" t="s">
        <v>171</v>
      </c>
      <c r="J4" s="353"/>
    </row>
    <row r="5" ht="36" customHeight="1" spans="1:10">
      <c r="A5" s="354"/>
      <c r="B5" s="355"/>
      <c r="C5" s="355"/>
      <c r="D5" s="355"/>
      <c r="E5" s="355"/>
      <c r="F5" s="355"/>
      <c r="G5" s="355"/>
      <c r="H5" s="356"/>
      <c r="I5" s="356"/>
      <c r="J5" s="355" t="s">
        <v>172</v>
      </c>
    </row>
    <row r="6" ht="35" customHeight="1" spans="1:10">
      <c r="A6" s="352"/>
      <c r="B6" s="353" t="s">
        <v>173</v>
      </c>
      <c r="C6" s="353"/>
      <c r="D6" s="353"/>
      <c r="E6" s="353"/>
      <c r="F6" s="357"/>
      <c r="G6" s="358">
        <f>SUM(G5:G5)</f>
        <v>0</v>
      </c>
      <c r="H6" s="357"/>
      <c r="I6" s="357">
        <f>SUM(I5:I5)</f>
        <v>0</v>
      </c>
      <c r="J6" s="353"/>
    </row>
    <row r="7" ht="20" customHeight="1" spans="1:10">
      <c r="A7" s="359" t="s">
        <v>174</v>
      </c>
      <c r="B7" s="360"/>
      <c r="C7" s="360"/>
      <c r="D7" s="360"/>
      <c r="E7" s="360"/>
      <c r="F7" s="360"/>
      <c r="G7" s="360"/>
      <c r="H7" s="360"/>
      <c r="I7" s="360"/>
      <c r="J7" s="361"/>
    </row>
    <row r="8" ht="20" customHeight="1" spans="1:10">
      <c r="A8" s="359" t="s">
        <v>175</v>
      </c>
      <c r="B8" s="360"/>
      <c r="C8" s="360"/>
      <c r="D8" s="360"/>
      <c r="E8" s="360"/>
      <c r="F8" s="360"/>
      <c r="G8" s="360"/>
      <c r="H8" s="360"/>
      <c r="I8" s="360"/>
      <c r="J8" s="361"/>
    </row>
    <row r="9" ht="20" customHeight="1" spans="1:10">
      <c r="A9" s="362" t="s">
        <v>176</v>
      </c>
      <c r="B9" s="363"/>
      <c r="C9" s="363"/>
      <c r="D9" s="363"/>
      <c r="E9" s="363"/>
      <c r="F9" s="363"/>
      <c r="G9" s="363"/>
      <c r="H9" s="363"/>
      <c r="I9" s="363"/>
      <c r="J9" s="364"/>
    </row>
    <row r="10" ht="20.25" customHeight="1" spans="1:10">
      <c r="A10" s="365" t="s">
        <v>177</v>
      </c>
      <c r="B10" s="366"/>
      <c r="C10" s="366"/>
      <c r="D10" s="366"/>
      <c r="E10" s="366"/>
      <c r="F10" s="366"/>
      <c r="G10" s="366"/>
      <c r="H10" s="366"/>
      <c r="I10" s="366"/>
      <c r="J10" s="367"/>
    </row>
    <row r="11" ht="21.75" customHeight="1" spans="1:10">
      <c r="A11" s="368" t="s">
        <v>178</v>
      </c>
      <c r="B11" s="369"/>
      <c r="C11" s="369"/>
      <c r="D11" s="369"/>
      <c r="E11" s="369"/>
      <c r="F11" s="369"/>
      <c r="G11" s="369"/>
      <c r="H11" s="369"/>
      <c r="I11" s="369"/>
      <c r="J11" s="370"/>
    </row>
  </sheetData>
  <mergeCells count="12">
    <mergeCell ref="A1:J1"/>
    <mergeCell ref="C2:E2"/>
    <mergeCell ref="F2:G2"/>
    <mergeCell ref="B3:E3"/>
    <mergeCell ref="F3:G3"/>
    <mergeCell ref="H3:I3"/>
    <mergeCell ref="B6:E6"/>
    <mergeCell ref="A7:J7"/>
    <mergeCell ref="A8:J8"/>
    <mergeCell ref="A9:J9"/>
    <mergeCell ref="A10:J10"/>
    <mergeCell ref="A11:J11"/>
  </mergeCells>
  <pageMargins left="0.699305555555556" right="0.699305555555556" top="0.75" bottom="0.75" header="0.3" footer="0.3"/>
  <pageSetup paperSize="9"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L16"/>
  <sheetViews>
    <sheetView view="pageBreakPreview" zoomScale="115" zoomScaleNormal="100" workbookViewId="0">
      <pane ySplit="4" topLeftCell="A9" activePane="bottomLeft" state="frozen"/>
      <selection/>
      <selection pane="bottomLeft" activeCell="H10" sqref="H10"/>
    </sheetView>
  </sheetViews>
  <sheetFormatPr defaultColWidth="9" defaultRowHeight="13.5"/>
  <cols>
    <col min="1" max="1" width="6.73333333333333" customWidth="1"/>
    <col min="2" max="2" width="12.625" style="317" customWidth="1"/>
    <col min="3" max="3" width="13.475" style="317" customWidth="1"/>
    <col min="5" max="5" width="10.275"/>
    <col min="6" max="6" width="11.5" style="9"/>
    <col min="7" max="7" width="14.125" style="9"/>
    <col min="8" max="8" width="11.5" style="9"/>
    <col min="9" max="9" width="14.125" style="9"/>
    <col min="10" max="10" width="12.625" customWidth="1"/>
    <col min="11" max="12" width="10.375"/>
    <col min="13" max="14" width="11.5"/>
  </cols>
  <sheetData>
    <row r="1" ht="22.5" customHeight="1" spans="1:12">
      <c r="A1" s="318" t="str">
        <f>'物资表-土建'!A1</f>
        <v>***110kV线路工程-物资采购控制价审批表</v>
      </c>
      <c r="B1" s="318"/>
      <c r="C1" s="318"/>
      <c r="D1" s="318"/>
      <c r="E1" s="318"/>
      <c r="F1" s="333"/>
      <c r="G1" s="333"/>
      <c r="H1" s="333"/>
      <c r="I1" s="333"/>
      <c r="J1" s="318"/>
    </row>
    <row r="2" ht="58.5" customHeight="1" spans="1:12">
      <c r="A2" s="319"/>
      <c r="B2" s="334" t="s">
        <v>179</v>
      </c>
      <c r="C2" s="321"/>
      <c r="D2" s="321"/>
      <c r="E2" s="321"/>
      <c r="F2" s="335"/>
      <c r="G2" s="335"/>
      <c r="H2" s="336"/>
      <c r="I2" s="336"/>
      <c r="J2" s="322" t="s">
        <v>162</v>
      </c>
    </row>
    <row r="3" ht="29.25" customHeight="1" spans="1:12">
      <c r="A3" s="328"/>
      <c r="B3" s="328" t="s">
        <v>163</v>
      </c>
      <c r="C3" s="328"/>
      <c r="D3" s="328"/>
      <c r="E3" s="328"/>
      <c r="F3" s="337" t="s">
        <v>164</v>
      </c>
      <c r="G3" s="337"/>
      <c r="H3" s="337" t="s">
        <v>165</v>
      </c>
      <c r="I3" s="337"/>
      <c r="J3" s="328" t="s">
        <v>13</v>
      </c>
    </row>
    <row r="4" ht="33" customHeight="1" spans="1:12">
      <c r="A4" s="328" t="s">
        <v>8</v>
      </c>
      <c r="B4" s="328" t="s">
        <v>166</v>
      </c>
      <c r="C4" s="328" t="s">
        <v>167</v>
      </c>
      <c r="D4" s="328" t="s">
        <v>168</v>
      </c>
      <c r="E4" s="328" t="s">
        <v>169</v>
      </c>
      <c r="F4" s="337" t="s">
        <v>170</v>
      </c>
      <c r="G4" s="337" t="s">
        <v>171</v>
      </c>
      <c r="H4" s="337" t="s">
        <v>170</v>
      </c>
      <c r="I4" s="337" t="s">
        <v>171</v>
      </c>
      <c r="J4" s="328"/>
    </row>
    <row r="5" ht="33" customHeight="1" spans="1:12">
      <c r="A5" s="328">
        <v>1</v>
      </c>
      <c r="B5" s="328" t="s">
        <v>180</v>
      </c>
      <c r="C5" s="328" t="s">
        <v>181</v>
      </c>
      <c r="D5" s="328" t="s">
        <v>182</v>
      </c>
      <c r="E5" s="328">
        <v>3.866</v>
      </c>
      <c r="F5" s="337">
        <v>3549.9967</v>
      </c>
      <c r="G5" s="337">
        <f t="shared" ref="G5:G10" si="0">F5*E5</f>
        <v>13724.2872422</v>
      </c>
      <c r="H5" s="337">
        <f>4030*0.95</f>
        <v>3828.5</v>
      </c>
      <c r="I5" s="337">
        <f t="shared" ref="I5:I10" si="1">H5*E5</f>
        <v>14800.981</v>
      </c>
      <c r="J5" s="326" t="s">
        <v>183</v>
      </c>
    </row>
    <row r="6" ht="33" customHeight="1" spans="1:12">
      <c r="A6" s="328">
        <v>2</v>
      </c>
      <c r="B6" s="328" t="s">
        <v>184</v>
      </c>
      <c r="C6" s="328" t="s">
        <v>185</v>
      </c>
      <c r="D6" s="328" t="s">
        <v>182</v>
      </c>
      <c r="E6" s="328">
        <v>0.875</v>
      </c>
      <c r="F6" s="337">
        <v>4499.999</v>
      </c>
      <c r="G6" s="337">
        <f t="shared" si="0"/>
        <v>3937.499125</v>
      </c>
      <c r="H6" s="337">
        <f>4000*0.95</f>
        <v>3800</v>
      </c>
      <c r="I6" s="337">
        <f t="shared" si="1"/>
        <v>3325</v>
      </c>
      <c r="J6" s="328" t="s">
        <v>186</v>
      </c>
    </row>
    <row r="7" ht="33" customHeight="1" spans="1:12">
      <c r="A7" s="328">
        <v>3</v>
      </c>
      <c r="B7" s="328" t="s">
        <v>187</v>
      </c>
      <c r="C7" s="328" t="s">
        <v>181</v>
      </c>
      <c r="D7" s="328" t="s">
        <v>182</v>
      </c>
      <c r="E7" s="328">
        <v>6.777</v>
      </c>
      <c r="F7" s="337">
        <v>6999.9997</v>
      </c>
      <c r="G7" s="337">
        <f t="shared" si="0"/>
        <v>47438.9979669</v>
      </c>
      <c r="H7" s="337">
        <v>6300</v>
      </c>
      <c r="I7" s="337">
        <f t="shared" si="1"/>
        <v>42695.1</v>
      </c>
      <c r="J7" s="328" t="s">
        <v>188</v>
      </c>
    </row>
    <row r="8" ht="33" customHeight="1" spans="1:12">
      <c r="A8" s="328">
        <v>4</v>
      </c>
      <c r="B8" s="328" t="s">
        <v>189</v>
      </c>
      <c r="C8" s="328" t="s">
        <v>181</v>
      </c>
      <c r="D8" s="328" t="s">
        <v>190</v>
      </c>
      <c r="E8" s="328">
        <v>2.03</v>
      </c>
      <c r="F8" s="337">
        <v>100.005</v>
      </c>
      <c r="G8" s="337">
        <f t="shared" si="0"/>
        <v>203.01015</v>
      </c>
      <c r="H8" s="337">
        <v>112</v>
      </c>
      <c r="I8" s="337">
        <f t="shared" si="1"/>
        <v>227.36</v>
      </c>
      <c r="J8" s="328" t="s">
        <v>188</v>
      </c>
    </row>
    <row r="9" s="332" customFormat="1" ht="33" customHeight="1" spans="1:12">
      <c r="A9" s="328">
        <v>5</v>
      </c>
      <c r="B9" s="328" t="s">
        <v>191</v>
      </c>
      <c r="C9" s="328" t="s">
        <v>181</v>
      </c>
      <c r="D9" s="328" t="s">
        <v>190</v>
      </c>
      <c r="E9" s="328">
        <v>23.345</v>
      </c>
      <c r="F9" s="337">
        <v>100.005</v>
      </c>
      <c r="G9" s="337">
        <f t="shared" si="0"/>
        <v>2334.616725</v>
      </c>
      <c r="H9" s="337">
        <v>112</v>
      </c>
      <c r="I9" s="337">
        <f t="shared" si="1"/>
        <v>2614.64</v>
      </c>
      <c r="J9" s="328" t="s">
        <v>188</v>
      </c>
      <c r="K9"/>
      <c r="L9"/>
    </row>
    <row r="10" s="332" customFormat="1" ht="33" customHeight="1" spans="1:12">
      <c r="A10" s="328">
        <v>6</v>
      </c>
      <c r="B10" s="324" t="s">
        <v>192</v>
      </c>
      <c r="C10" s="324" t="s">
        <v>193</v>
      </c>
      <c r="D10" s="324" t="s">
        <v>182</v>
      </c>
      <c r="E10" s="325">
        <v>0.034</v>
      </c>
      <c r="F10" s="326">
        <v>4499.999</v>
      </c>
      <c r="G10" s="326">
        <f t="shared" si="0"/>
        <v>152.999966</v>
      </c>
      <c r="H10" s="326">
        <f>4030*0.95</f>
        <v>3828.5</v>
      </c>
      <c r="I10" s="326">
        <f t="shared" si="1"/>
        <v>130.169</v>
      </c>
      <c r="J10" s="326" t="s">
        <v>183</v>
      </c>
      <c r="K10"/>
    </row>
    <row r="11" s="332" customFormat="1" ht="33" customHeight="1" spans="1:12">
      <c r="A11" s="338"/>
      <c r="B11" s="338" t="s">
        <v>173</v>
      </c>
      <c r="C11" s="338"/>
      <c r="D11" s="338"/>
      <c r="E11" s="338"/>
      <c r="F11" s="339"/>
      <c r="G11" s="340">
        <f>SUM(G5:G10)</f>
        <v>67791.4111751</v>
      </c>
      <c r="H11" s="340"/>
      <c r="I11" s="340">
        <f>SUM(I5:I10)</f>
        <v>63793.25</v>
      </c>
      <c r="J11" s="338"/>
    </row>
    <row r="12" ht="20" customHeight="1" spans="1:12">
      <c r="A12" s="341" t="s">
        <v>194</v>
      </c>
      <c r="B12" s="342"/>
      <c r="C12" s="342"/>
      <c r="D12" s="341"/>
      <c r="E12" s="341"/>
      <c r="F12" s="343"/>
      <c r="G12" s="343"/>
      <c r="H12" s="343"/>
      <c r="I12" s="343"/>
      <c r="J12" s="341"/>
    </row>
    <row r="13" ht="20" customHeight="1" spans="1:12">
      <c r="A13" s="341"/>
      <c r="B13" s="342"/>
      <c r="C13" s="342"/>
      <c r="D13" s="341"/>
      <c r="E13" s="341"/>
      <c r="F13" s="343"/>
      <c r="G13" s="343"/>
      <c r="H13" s="343"/>
      <c r="I13" s="343"/>
      <c r="J13" s="341"/>
    </row>
    <row r="14" ht="20" customHeight="1" spans="1:12">
      <c r="A14" s="341"/>
      <c r="B14" s="342"/>
      <c r="C14" s="342"/>
      <c r="D14" s="341"/>
      <c r="E14" s="341"/>
      <c r="F14" s="343"/>
      <c r="G14" s="343"/>
      <c r="H14" s="343"/>
      <c r="I14" s="343"/>
      <c r="J14" s="341"/>
    </row>
    <row r="15" s="315" customFormat="1" ht="44" customHeight="1" spans="1:12">
      <c r="A15" s="344" t="s">
        <v>195</v>
      </c>
      <c r="B15" s="345"/>
      <c r="C15" s="345"/>
      <c r="D15" s="344"/>
      <c r="E15" s="344"/>
      <c r="F15" s="346"/>
      <c r="G15" s="346"/>
      <c r="H15" s="346"/>
      <c r="I15" s="346"/>
      <c r="J15" s="344"/>
    </row>
    <row r="16" s="316" customFormat="1" ht="45" customHeight="1" spans="1:12">
      <c r="A16" s="344"/>
      <c r="B16" s="345"/>
      <c r="C16" s="345"/>
      <c r="D16" s="344"/>
      <c r="E16" s="344"/>
      <c r="F16" s="346"/>
      <c r="G16" s="346"/>
      <c r="H16" s="346"/>
      <c r="I16" s="346"/>
      <c r="J16" s="344"/>
    </row>
  </sheetData>
  <mergeCells count="10">
    <mergeCell ref="A1:J1"/>
    <mergeCell ref="C2:E2"/>
    <mergeCell ref="F2:G2"/>
    <mergeCell ref="B3:E3"/>
    <mergeCell ref="F3:G3"/>
    <mergeCell ref="H3:I3"/>
    <mergeCell ref="B11:E11"/>
    <mergeCell ref="J3:J4"/>
    <mergeCell ref="A15:J16"/>
    <mergeCell ref="A12:J14"/>
  </mergeCells>
  <printOptions horizontalCentered="1"/>
  <pageMargins left="0.700694444444445" right="0.700694444444445" top="0.751388888888889" bottom="0.751388888888889" header="0.297916666666667" footer="0.297916666666667"/>
  <pageSetup paperSize="9" fitToHeight="0" orientation="landscape" horizontalDpi="6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K14"/>
  <sheetViews>
    <sheetView view="pageBreakPreview" zoomScale="115" zoomScaleNormal="100" workbookViewId="0">
      <selection activeCell="A5" sqref="A5:A7"/>
    </sheetView>
  </sheetViews>
  <sheetFormatPr defaultColWidth="9" defaultRowHeight="13.5"/>
  <cols>
    <col min="1" max="1" width="4.625" customWidth="1"/>
    <col min="2" max="2" width="21.2916666666667" customWidth="1"/>
    <col min="5" max="5" width="12.625"/>
    <col min="6" max="6" width="10.375" style="317"/>
    <col min="7" max="7" width="14" style="317" customWidth="1"/>
    <col min="8" max="8" width="11.5" style="317"/>
    <col min="9" max="9" width="12.625" style="317"/>
    <col min="10" max="10" width="15.2083333333333" customWidth="1"/>
    <col min="11" max="11" width="19.2583333333333" customWidth="1"/>
    <col min="12" max="12" width="12.625"/>
  </cols>
  <sheetData>
    <row r="1" ht="22.5" customHeight="1" spans="1:11">
      <c r="A1" s="318" t="str">
        <f>计划单!D4&amp;"-物资采购控制价审批表"</f>
        <v>***110kV线路工程-物资采购控制价审批表</v>
      </c>
      <c r="B1" s="318"/>
      <c r="C1" s="318"/>
      <c r="D1" s="318"/>
      <c r="E1" s="318"/>
      <c r="F1" s="318"/>
      <c r="G1" s="318"/>
      <c r="H1" s="318"/>
      <c r="I1" s="318"/>
    </row>
    <row r="2" ht="33" customHeight="1" spans="1:11">
      <c r="A2" s="319"/>
      <c r="B2" s="320" t="s">
        <v>196</v>
      </c>
      <c r="C2" s="321"/>
      <c r="D2" s="321"/>
      <c r="E2" s="321"/>
      <c r="F2" s="322"/>
      <c r="G2" s="322"/>
      <c r="H2" s="321"/>
      <c r="I2" s="321"/>
      <c r="J2" s="322" t="s">
        <v>162</v>
      </c>
    </row>
    <row r="3" ht="29.25" customHeight="1" spans="1:11">
      <c r="A3" s="323"/>
      <c r="B3" s="323" t="s">
        <v>163</v>
      </c>
      <c r="C3" s="323"/>
      <c r="D3" s="323"/>
      <c r="E3" s="323"/>
      <c r="F3" s="323" t="s">
        <v>164</v>
      </c>
      <c r="G3" s="323"/>
      <c r="H3" s="323" t="s">
        <v>165</v>
      </c>
      <c r="I3" s="323"/>
      <c r="J3" s="323" t="s">
        <v>13</v>
      </c>
    </row>
    <row r="4" ht="15.75" customHeight="1" spans="1:11">
      <c r="A4" s="323" t="s">
        <v>8</v>
      </c>
      <c r="B4" s="323" t="s">
        <v>166</v>
      </c>
      <c r="C4" s="323" t="s">
        <v>167</v>
      </c>
      <c r="D4" s="323" t="s">
        <v>168</v>
      </c>
      <c r="E4" s="323" t="s">
        <v>169</v>
      </c>
      <c r="F4" s="323" t="s">
        <v>170</v>
      </c>
      <c r="G4" s="323" t="s">
        <v>171</v>
      </c>
      <c r="H4" s="323" t="s">
        <v>170</v>
      </c>
      <c r="I4" s="323" t="s">
        <v>171</v>
      </c>
      <c r="J4" s="323"/>
    </row>
    <row r="5" ht="33" customHeight="1" spans="1:11">
      <c r="A5" s="324">
        <v>1</v>
      </c>
      <c r="B5" s="324" t="s">
        <v>197</v>
      </c>
      <c r="C5" s="324">
        <v>42.5</v>
      </c>
      <c r="D5" s="324" t="s">
        <v>182</v>
      </c>
      <c r="E5" s="325">
        <v>63.284</v>
      </c>
      <c r="F5" s="326">
        <v>334.9998</v>
      </c>
      <c r="G5" s="326">
        <f>F5*E5</f>
        <v>21200.1273432</v>
      </c>
      <c r="H5" s="326">
        <f>395*0.95</f>
        <v>375.25</v>
      </c>
      <c r="I5" s="326">
        <f>H5*E5</f>
        <v>23747.321</v>
      </c>
      <c r="J5" s="327" t="s">
        <v>183</v>
      </c>
    </row>
    <row r="6" ht="33" customHeight="1" spans="1:11">
      <c r="A6" s="324">
        <v>2</v>
      </c>
      <c r="B6" s="324" t="s">
        <v>198</v>
      </c>
      <c r="C6" s="324" t="s">
        <v>199</v>
      </c>
      <c r="D6" s="324" t="s">
        <v>200</v>
      </c>
      <c r="E6" s="325">
        <v>240.76</v>
      </c>
      <c r="F6" s="326">
        <v>378.2778</v>
      </c>
      <c r="G6" s="326">
        <f>F6*E6</f>
        <v>91074.163128</v>
      </c>
      <c r="H6" s="326">
        <f>435*0.95</f>
        <v>413.25</v>
      </c>
      <c r="I6" s="326">
        <f>H6*E6</f>
        <v>99494.07</v>
      </c>
      <c r="J6" s="327" t="s">
        <v>183</v>
      </c>
    </row>
    <row r="7" ht="33" customHeight="1" spans="1:11">
      <c r="A7" s="324">
        <v>3</v>
      </c>
      <c r="B7" s="324" t="s">
        <v>198</v>
      </c>
      <c r="C7" s="324" t="s">
        <v>201</v>
      </c>
      <c r="D7" s="324" t="s">
        <v>200</v>
      </c>
      <c r="E7" s="325">
        <v>61.261</v>
      </c>
      <c r="F7" s="326">
        <v>410.1769</v>
      </c>
      <c r="G7" s="326">
        <f>F7*E7</f>
        <v>25127.8470709</v>
      </c>
      <c r="H7" s="326">
        <f>445*0.95</f>
        <v>422.75</v>
      </c>
      <c r="I7" s="326">
        <f>H7*E7</f>
        <v>25898.08775</v>
      </c>
      <c r="J7" s="327" t="s">
        <v>183</v>
      </c>
    </row>
    <row r="8" s="314" customFormat="1" ht="33" customHeight="1" spans="1:11">
      <c r="A8" s="324"/>
      <c r="B8" s="328"/>
      <c r="C8" s="328"/>
      <c r="D8" s="328"/>
      <c r="E8" s="328"/>
      <c r="F8" s="328"/>
      <c r="G8" s="326"/>
      <c r="H8" s="328"/>
      <c r="I8" s="326"/>
      <c r="J8" s="328"/>
      <c r="K8"/>
    </row>
    <row r="9" ht="33" customHeight="1" spans="1:11">
      <c r="A9" s="323"/>
      <c r="B9" s="323" t="s">
        <v>173</v>
      </c>
      <c r="C9" s="323"/>
      <c r="D9" s="323"/>
      <c r="E9" s="323"/>
      <c r="F9" s="323"/>
      <c r="G9" s="329">
        <f>SUM(G5:G8)</f>
        <v>137402.1375421</v>
      </c>
      <c r="H9" s="323"/>
      <c r="I9" s="329">
        <f>SUM(I5:I8)</f>
        <v>149139.47875</v>
      </c>
      <c r="J9" s="323"/>
    </row>
    <row r="10" ht="26" customHeight="1" spans="1:11">
      <c r="A10" s="330" t="s">
        <v>202</v>
      </c>
      <c r="B10" s="330"/>
      <c r="C10" s="330"/>
      <c r="D10" s="330"/>
      <c r="E10" s="330"/>
      <c r="F10" s="330"/>
      <c r="G10" s="330"/>
      <c r="H10" s="330"/>
      <c r="I10" s="330"/>
      <c r="J10" s="330"/>
    </row>
    <row r="11" ht="26" customHeight="1" spans="1:11">
      <c r="A11" s="330"/>
      <c r="B11" s="330"/>
      <c r="C11" s="330"/>
      <c r="D11" s="330"/>
      <c r="E11" s="330"/>
      <c r="F11" s="330"/>
      <c r="G11" s="330"/>
      <c r="H11" s="330"/>
      <c r="I11" s="330"/>
      <c r="J11" s="330"/>
    </row>
    <row r="12" ht="26" customHeight="1" spans="1:11">
      <c r="A12" s="330"/>
      <c r="B12" s="330"/>
      <c r="C12" s="330"/>
      <c r="D12" s="330"/>
      <c r="E12" s="330"/>
      <c r="F12" s="330"/>
      <c r="G12" s="330"/>
      <c r="H12" s="330"/>
      <c r="I12" s="330"/>
      <c r="J12" s="330"/>
    </row>
    <row r="13" s="315" customFormat="1" ht="44" customHeight="1" spans="1:11">
      <c r="A13" s="331" t="s">
        <v>195</v>
      </c>
      <c r="B13" s="331"/>
      <c r="C13" s="331"/>
      <c r="D13" s="331"/>
      <c r="E13" s="331"/>
      <c r="F13" s="331"/>
      <c r="G13" s="331"/>
      <c r="H13" s="331"/>
      <c r="I13" s="331"/>
      <c r="J13" s="331"/>
    </row>
    <row r="14" s="316" customFormat="1" ht="45" customHeight="1" spans="1:11">
      <c r="A14" s="331"/>
      <c r="B14" s="331"/>
      <c r="C14" s="331"/>
      <c r="D14" s="331"/>
      <c r="E14" s="331"/>
      <c r="F14" s="331"/>
      <c r="G14" s="331"/>
      <c r="H14" s="331"/>
      <c r="I14" s="331"/>
      <c r="J14" s="331"/>
    </row>
  </sheetData>
  <mergeCells count="10">
    <mergeCell ref="A1:I1"/>
    <mergeCell ref="C2:E2"/>
    <mergeCell ref="F2:G2"/>
    <mergeCell ref="B3:E3"/>
    <mergeCell ref="F3:G3"/>
    <mergeCell ref="H3:I3"/>
    <mergeCell ref="B9:E9"/>
    <mergeCell ref="J3:J4"/>
    <mergeCell ref="A10:J12"/>
    <mergeCell ref="A13:J14"/>
  </mergeCells>
  <printOptions horizontalCentered="1"/>
  <pageMargins left="0.700694444444445" right="0.700694444444445" top="0.751388888888889" bottom="0.751388888888889" header="0.297916666666667" footer="0.297916666666667"/>
  <pageSetup paperSize="9" orientation="landscape" horizontalDpi="6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FF00"/>
  </sheetPr>
  <dimension ref="A1:J14"/>
  <sheetViews>
    <sheetView view="pageBreakPreview" zoomScaleNormal="100" workbookViewId="0">
      <selection activeCell="B4" sqref="B4"/>
    </sheetView>
  </sheetViews>
  <sheetFormatPr defaultColWidth="9" defaultRowHeight="13.5"/>
  <cols>
    <col min="1" max="1" width="19.2583333333333" customWidth="1"/>
    <col min="2" max="2" width="13.875" customWidth="1"/>
    <col min="3" max="3" width="24.875" customWidth="1"/>
    <col min="4" max="4" width="11.5" customWidth="1"/>
    <col min="5" max="5" width="24.875" customWidth="1"/>
    <col min="6" max="6" width="12.625" customWidth="1"/>
    <col min="7" max="7" width="24.125" hidden="1" customWidth="1"/>
    <col min="8" max="8" width="9" hidden="1" customWidth="1"/>
    <col min="10" max="10" width="10.375"/>
  </cols>
  <sheetData>
    <row r="1" ht="36" customHeight="1" spans="1:10">
      <c r="A1" s="300" t="s">
        <v>32</v>
      </c>
      <c r="B1" s="301"/>
      <c r="C1" s="300" t="s">
        <v>203</v>
      </c>
      <c r="D1" s="300"/>
      <c r="E1" s="300" t="s">
        <v>204</v>
      </c>
      <c r="F1" s="300"/>
      <c r="G1" s="300" t="s">
        <v>205</v>
      </c>
      <c r="H1" s="300"/>
    </row>
    <row r="2" ht="36" customHeight="1" spans="1:10">
      <c r="A2" s="302" t="s">
        <v>206</v>
      </c>
      <c r="B2" s="303"/>
      <c r="C2" s="302" t="s">
        <v>207</v>
      </c>
      <c r="D2" s="302"/>
      <c r="E2" s="302" t="s">
        <v>207</v>
      </c>
      <c r="F2" s="302"/>
    </row>
    <row r="3" ht="36" customHeight="1" spans="1:10">
      <c r="A3" s="302" t="s">
        <v>9</v>
      </c>
      <c r="B3" s="303" t="s">
        <v>208</v>
      </c>
      <c r="C3" s="302" t="s">
        <v>9</v>
      </c>
      <c r="D3" s="302" t="s">
        <v>208</v>
      </c>
      <c r="E3" s="302" t="s">
        <v>9</v>
      </c>
      <c r="F3" s="302" t="s">
        <v>208</v>
      </c>
      <c r="G3" t="s">
        <v>209</v>
      </c>
    </row>
    <row r="4" ht="36" customHeight="1" spans="1:10">
      <c r="A4" s="36" t="s">
        <v>210</v>
      </c>
      <c r="B4" s="304" t="e">
        <f>架空输电线路安装工程汇总概算表!E4+架空输电线路安装工程汇总概算表!G4+架空输电线路安装工程汇总概算表!P4</f>
        <v>#REF!</v>
      </c>
      <c r="C4" s="36" t="s">
        <v>211</v>
      </c>
      <c r="D4" s="305">
        <f>架空输电线路安装工程汇总概算表!F4</f>
        <v>1733083</v>
      </c>
      <c r="E4" s="36" t="s">
        <v>211</v>
      </c>
      <c r="F4" s="305" t="e">
        <f>架空输电线路安装工程汇总概算表!H4+架空输电线路安装工程汇总概算表!I4+架空输电线路安装工程汇总概算表!P6</f>
        <v>#REF!</v>
      </c>
      <c r="G4" t="s">
        <v>173</v>
      </c>
    </row>
    <row r="5" ht="36" customHeight="1" spans="1:10">
      <c r="A5" s="36" t="s">
        <v>23</v>
      </c>
      <c r="B5" s="304" t="e">
        <f>架空输电线路安装工程汇总概算表!E10+架空输电线路安装工程汇总概算表!G10+架空输电线路安装工程汇总概算表!Q4</f>
        <v>#REF!</v>
      </c>
      <c r="C5" s="36" t="s">
        <v>212</v>
      </c>
      <c r="D5" s="305">
        <v>0</v>
      </c>
      <c r="E5" s="36" t="s">
        <v>212</v>
      </c>
      <c r="F5" s="305">
        <v>0</v>
      </c>
    </row>
    <row r="6" ht="36" customHeight="1" spans="1:10">
      <c r="A6" s="36" t="s">
        <v>213</v>
      </c>
      <c r="B6" s="304" t="e">
        <f>(架空输电线路安装工程汇总概算表!E20+架空输电线路安装工程汇总概算表!G20+架空输电线路安装工程汇总概算表!R4)*0.5</f>
        <v>#REF!</v>
      </c>
      <c r="C6" s="36" t="s">
        <v>18</v>
      </c>
      <c r="D6" s="305">
        <f>架空输电线路安装工程汇总概算表!F10</f>
        <v>1412494</v>
      </c>
      <c r="E6" s="36" t="s">
        <v>18</v>
      </c>
      <c r="F6" s="305">
        <f>架空输电线路安装工程汇总概算表!H10+架空输电线路安装工程汇总概算表!I10</f>
        <v>606839</v>
      </c>
    </row>
    <row r="7" ht="36" customHeight="1" spans="1:10">
      <c r="A7" s="36" t="s">
        <v>214</v>
      </c>
      <c r="B7" s="304" t="e">
        <f>架空输电线路安装工程汇总概算表!E28+架空输电线路安装工程汇总概算表!G28+架空输电线路安装工程汇总概算表!S4</f>
        <v>#REF!</v>
      </c>
      <c r="C7" s="36" t="s">
        <v>215</v>
      </c>
      <c r="D7" s="305">
        <f>架空输电线路安装工程汇总概算表!F20/2</f>
        <v>29144</v>
      </c>
      <c r="E7" s="36" t="s">
        <v>215</v>
      </c>
      <c r="F7" s="305" t="e">
        <f>(架空输电线路安装工程汇总概算表!H20+架空输电线路安装工程汇总概算表!I20+架空输电线路安装工程汇总概算表!R6)/2</f>
        <v>#REF!</v>
      </c>
      <c r="J7" s="306"/>
    </row>
    <row r="8" ht="36" customHeight="1" spans="1:10">
      <c r="A8" s="36" t="s">
        <v>216</v>
      </c>
      <c r="B8" s="304" t="e">
        <f>架空输电线路安装工程汇总概算表!E35+架空输电线路安装工程汇总概算表!G35+架空输电线路安装工程汇总概算表!T4</f>
        <v>#REF!</v>
      </c>
      <c r="C8" s="36" t="s">
        <v>217</v>
      </c>
      <c r="D8" s="305">
        <v>0</v>
      </c>
      <c r="E8" s="36" t="s">
        <v>217</v>
      </c>
      <c r="F8" s="305">
        <v>0</v>
      </c>
      <c r="J8" s="306"/>
    </row>
    <row r="9" ht="36" customHeight="1" spans="1:10">
      <c r="A9" s="36" t="s">
        <v>218</v>
      </c>
      <c r="B9" s="304" t="e">
        <f>(B4-B5-B6+B7+B8)</f>
        <v>#REF!</v>
      </c>
      <c r="C9" s="36" t="s">
        <v>219</v>
      </c>
      <c r="D9" s="305">
        <f>架空输电线路安装工程汇总概算表!F28</f>
        <v>308258</v>
      </c>
      <c r="E9" s="36" t="s">
        <v>219</v>
      </c>
      <c r="F9" s="305" t="e">
        <f>架空输电线路安装工程汇总概算表!H32+架空输电线路安装工程汇总概算表!I32+架空输电线路安装工程汇总概算表!S6</f>
        <v>#REF!</v>
      </c>
    </row>
    <row r="10" ht="36" customHeight="1" spans="1:10">
      <c r="B10" s="307"/>
      <c r="C10" s="36" t="s">
        <v>220</v>
      </c>
      <c r="D10" s="305">
        <v>0</v>
      </c>
      <c r="E10" s="36" t="s">
        <v>220</v>
      </c>
      <c r="F10" s="305">
        <v>0</v>
      </c>
    </row>
    <row r="11" ht="36" customHeight="1" spans="1:10">
      <c r="C11" s="36" t="s">
        <v>221</v>
      </c>
      <c r="D11" s="305">
        <f>架空输电线路安装工程汇总概算表!F35</f>
        <v>204713</v>
      </c>
      <c r="E11" s="36" t="s">
        <v>221</v>
      </c>
      <c r="F11" s="305" t="e">
        <f>架空输电线路安装工程汇总概算表!I35+架空输电线路安装工程汇总概算表!H35+架空输电线路安装工程汇总概算表!T6</f>
        <v>#REF!</v>
      </c>
    </row>
    <row r="12" ht="36" customHeight="1" spans="1:10">
      <c r="C12" s="36" t="s">
        <v>222</v>
      </c>
      <c r="D12" s="305">
        <v>0</v>
      </c>
      <c r="E12" s="36" t="s">
        <v>222</v>
      </c>
      <c r="F12" s="305">
        <v>0</v>
      </c>
    </row>
    <row r="13" ht="36" customHeight="1" spans="1:10">
      <c r="C13" s="308" t="s">
        <v>218</v>
      </c>
      <c r="D13" s="309">
        <f>(D4+D5-D6-D7-D8+D9+D10+D11+D12)</f>
        <v>804416</v>
      </c>
      <c r="E13" s="308" t="s">
        <v>218</v>
      </c>
      <c r="F13" s="305" t="e">
        <f>(F4+F5-F6-F7-F8+F9+F10+F11+F12)</f>
        <v>#REF!</v>
      </c>
    </row>
    <row r="14" ht="36" customHeight="1" spans="1:10">
      <c r="A14" s="310" t="s">
        <v>223</v>
      </c>
      <c r="B14" s="311"/>
      <c r="C14" s="311"/>
      <c r="D14" s="311"/>
      <c r="E14" s="312"/>
      <c r="F14" s="313" t="e">
        <f>B9+D13+F13</f>
        <v>#REF!</v>
      </c>
    </row>
  </sheetData>
  <mergeCells count="8">
    <mergeCell ref="A1:B1"/>
    <mergeCell ref="C1:D1"/>
    <mergeCell ref="E1:F1"/>
    <mergeCell ref="G1:H1"/>
    <mergeCell ref="A2:B2"/>
    <mergeCell ref="C2:D2"/>
    <mergeCell ref="E2:F2"/>
    <mergeCell ref="A14:E14"/>
  </mergeCells>
  <pageMargins left="0.75" right="0.75" top="1" bottom="1" header="0.511805555555556" footer="0.511805555555556"/>
  <pageSetup paperSize="9" scale="83"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00B0F0"/>
    <pageSetUpPr fitToPage="1"/>
  </sheetPr>
  <dimension ref="A1:M45"/>
  <sheetViews>
    <sheetView view="pageBreakPreview" zoomScale="115" zoomScaleNormal="100" workbookViewId="0">
      <selection activeCell="G16" sqref="G16"/>
    </sheetView>
  </sheetViews>
  <sheetFormatPr defaultColWidth="9" defaultRowHeight="11.25"/>
  <cols>
    <col min="1" max="1" width="4.75833333333333" style="94" customWidth="1"/>
    <col min="2" max="2" width="7.625" style="94" customWidth="1"/>
    <col min="3" max="3" width="11.125" style="93" customWidth="1"/>
    <col min="4" max="4" width="55.625" style="93" customWidth="1"/>
    <col min="5" max="5" width="5.375" style="93" customWidth="1"/>
    <col min="6" max="6" width="9.875" style="94" customWidth="1"/>
    <col min="7" max="7" width="10.625" style="26" customWidth="1"/>
    <col min="8" max="8" width="12.375" style="26" customWidth="1"/>
    <col min="9" max="9" width="45.5" style="26" customWidth="1"/>
    <col min="10" max="10" width="20.8166666666667" style="93" customWidth="1"/>
    <col min="11" max="12" width="9.375" style="93" customWidth="1"/>
    <col min="13" max="16384" width="9" style="93"/>
  </cols>
  <sheetData>
    <row r="1" ht="27" customHeight="1" spans="1:13">
      <c r="A1" s="253" t="str">
        <f>计划单!D4</f>
        <v>***110kV线路工程</v>
      </c>
      <c r="B1" s="253"/>
      <c r="C1" s="253"/>
      <c r="D1" s="253"/>
      <c r="E1" s="253"/>
      <c r="F1" s="254" t="s">
        <v>224</v>
      </c>
      <c r="G1" s="255" t="s">
        <v>225</v>
      </c>
      <c r="H1" s="255"/>
      <c r="I1" s="255"/>
    </row>
    <row r="2" ht="15" customHeight="1" spans="1:13">
      <c r="A2" s="24" t="s">
        <v>226</v>
      </c>
      <c r="B2" s="24"/>
      <c r="C2" s="24"/>
      <c r="D2" s="24"/>
      <c r="E2" s="24"/>
      <c r="F2" s="25"/>
      <c r="G2" s="24"/>
      <c r="H2" s="24"/>
      <c r="I2" s="26" t="s">
        <v>119</v>
      </c>
    </row>
    <row r="3" s="89" customFormat="1" spans="1:13">
      <c r="A3" s="99" t="s">
        <v>8</v>
      </c>
      <c r="B3" s="99" t="s">
        <v>227</v>
      </c>
      <c r="C3" s="99" t="s">
        <v>228</v>
      </c>
      <c r="D3" s="99"/>
      <c r="E3" s="99" t="s">
        <v>229</v>
      </c>
      <c r="F3" s="99" t="s">
        <v>230</v>
      </c>
      <c r="G3" s="256" t="s">
        <v>231</v>
      </c>
      <c r="H3" s="256" t="s">
        <v>232</v>
      </c>
      <c r="I3" s="104" t="s">
        <v>13</v>
      </c>
    </row>
    <row r="4" s="89" customFormat="1" ht="18" customHeight="1" spans="1:13">
      <c r="A4" s="99"/>
      <c r="B4" s="99"/>
      <c r="C4" s="99"/>
      <c r="D4" s="99"/>
      <c r="E4" s="99"/>
      <c r="F4" s="99"/>
      <c r="G4" s="256"/>
      <c r="H4" s="256"/>
      <c r="I4" s="104"/>
    </row>
    <row r="5" ht="18" customHeight="1" spans="1:13">
      <c r="A5" s="112">
        <v>1</v>
      </c>
      <c r="B5" s="112" t="s">
        <v>233</v>
      </c>
      <c r="C5" s="108" t="s">
        <v>234</v>
      </c>
      <c r="D5" s="108" t="s">
        <v>235</v>
      </c>
      <c r="E5" s="108"/>
      <c r="F5" s="148"/>
      <c r="G5" s="110"/>
      <c r="H5" s="110"/>
      <c r="I5" s="257"/>
    </row>
    <row r="6" ht="18" customHeight="1" spans="1:13">
      <c r="A6" s="117"/>
      <c r="B6" s="117"/>
      <c r="C6" s="108" t="s">
        <v>236</v>
      </c>
      <c r="D6" s="258" t="s">
        <v>237</v>
      </c>
      <c r="E6" s="108" t="s">
        <v>200</v>
      </c>
      <c r="F6" s="109">
        <v>0</v>
      </c>
      <c r="G6" s="109">
        <v>905.74</v>
      </c>
      <c r="H6" s="109">
        <f t="shared" ref="H6:H19" si="0">G6*F6</f>
        <v>0</v>
      </c>
      <c r="I6" s="259" t="s">
        <v>238</v>
      </c>
    </row>
    <row r="7" ht="18" customHeight="1" spans="1:13">
      <c r="A7" s="117"/>
      <c r="B7" s="117"/>
      <c r="C7" s="108" t="s">
        <v>239</v>
      </c>
      <c r="D7" s="260"/>
      <c r="E7" s="108" t="s">
        <v>200</v>
      </c>
      <c r="F7" s="109">
        <v>306.36</v>
      </c>
      <c r="G7" s="109">
        <v>1283.98</v>
      </c>
      <c r="H7" s="109">
        <f t="shared" si="0"/>
        <v>393360.1128</v>
      </c>
      <c r="I7" s="261"/>
    </row>
    <row r="8" ht="18" customHeight="1" spans="1:13">
      <c r="A8" s="117"/>
      <c r="B8" s="117"/>
      <c r="C8" s="108" t="s">
        <v>240</v>
      </c>
      <c r="D8" s="260"/>
      <c r="E8" s="108" t="s">
        <v>200</v>
      </c>
      <c r="F8" s="109">
        <v>0</v>
      </c>
      <c r="G8" s="109">
        <v>1316.98</v>
      </c>
      <c r="H8" s="109">
        <f t="shared" si="0"/>
        <v>0</v>
      </c>
      <c r="I8" s="261"/>
    </row>
    <row r="9" ht="18" customHeight="1" spans="1:13">
      <c r="A9" s="117"/>
      <c r="B9" s="117"/>
      <c r="C9" s="108" t="s">
        <v>241</v>
      </c>
      <c r="D9" s="260"/>
      <c r="E9" s="108" t="s">
        <v>200</v>
      </c>
      <c r="F9" s="109">
        <v>52.36</v>
      </c>
      <c r="G9" s="109">
        <v>759</v>
      </c>
      <c r="H9" s="109">
        <f t="shared" si="0"/>
        <v>39741.24</v>
      </c>
      <c r="I9" s="261"/>
      <c r="M9" s="93" t="s">
        <v>242</v>
      </c>
    </row>
    <row r="10" ht="18" customHeight="1" spans="1:13">
      <c r="A10" s="117"/>
      <c r="B10" s="117"/>
      <c r="C10" s="108" t="s">
        <v>243</v>
      </c>
      <c r="D10" s="260"/>
      <c r="E10" s="108" t="s">
        <v>200</v>
      </c>
      <c r="F10" s="109">
        <v>0</v>
      </c>
      <c r="G10" s="109">
        <v>679</v>
      </c>
      <c r="H10" s="109">
        <f t="shared" si="0"/>
        <v>0</v>
      </c>
      <c r="I10" s="261"/>
    </row>
    <row r="11" ht="18" customHeight="1" spans="1:13">
      <c r="A11" s="117"/>
      <c r="B11" s="117"/>
      <c r="C11" s="108" t="s">
        <v>244</v>
      </c>
      <c r="D11" s="260"/>
      <c r="E11" s="108" t="s">
        <v>245</v>
      </c>
      <c r="F11" s="109">
        <v>1</v>
      </c>
      <c r="G11" s="109">
        <v>20000</v>
      </c>
      <c r="H11" s="109">
        <f t="shared" si="0"/>
        <v>20000</v>
      </c>
      <c r="I11" s="261"/>
    </row>
    <row r="12" ht="18" customHeight="1" spans="1:13">
      <c r="A12" s="117"/>
      <c r="B12" s="117"/>
      <c r="C12" s="108" t="s">
        <v>246</v>
      </c>
      <c r="D12" s="260"/>
      <c r="E12" s="108" t="s">
        <v>200</v>
      </c>
      <c r="F12" s="109">
        <v>0</v>
      </c>
      <c r="G12" s="109">
        <v>530</v>
      </c>
      <c r="H12" s="109">
        <f t="shared" si="0"/>
        <v>0</v>
      </c>
      <c r="I12" s="261"/>
    </row>
    <row r="13" ht="18" customHeight="1" spans="1:13">
      <c r="A13" s="117"/>
      <c r="B13" s="117"/>
      <c r="C13" s="108" t="s">
        <v>247</v>
      </c>
      <c r="D13" s="262"/>
      <c r="E13" s="108" t="s">
        <v>200</v>
      </c>
      <c r="F13" s="109">
        <v>39.68</v>
      </c>
      <c r="G13" s="109">
        <v>643</v>
      </c>
      <c r="H13" s="109">
        <f t="shared" si="0"/>
        <v>25514.24</v>
      </c>
      <c r="I13" s="261"/>
    </row>
    <row r="14" ht="18" customHeight="1" spans="1:13">
      <c r="A14" s="117"/>
      <c r="B14" s="117"/>
      <c r="C14" s="108" t="s">
        <v>248</v>
      </c>
      <c r="D14" s="262"/>
      <c r="E14" s="108" t="s">
        <v>200</v>
      </c>
      <c r="F14" s="109">
        <v>0</v>
      </c>
      <c r="G14" s="109">
        <v>164</v>
      </c>
      <c r="H14" s="109">
        <f t="shared" si="0"/>
        <v>0</v>
      </c>
      <c r="I14" s="261"/>
    </row>
    <row r="15" ht="18" customHeight="1" spans="1:13">
      <c r="A15" s="117"/>
      <c r="B15" s="117"/>
      <c r="C15" s="108" t="s">
        <v>249</v>
      </c>
      <c r="D15" s="262" t="s">
        <v>250</v>
      </c>
      <c r="E15" s="108" t="s">
        <v>182</v>
      </c>
      <c r="F15" s="109">
        <v>22.658</v>
      </c>
      <c r="G15" s="109">
        <f>220+3351</f>
        <v>3571</v>
      </c>
      <c r="H15" s="109">
        <f t="shared" si="0"/>
        <v>80911.718</v>
      </c>
      <c r="I15" s="261"/>
    </row>
    <row r="16" ht="24" customHeight="1" spans="1:13">
      <c r="A16" s="117"/>
      <c r="B16" s="117"/>
      <c r="C16" s="108" t="s">
        <v>251</v>
      </c>
      <c r="D16" s="262" t="s">
        <v>252</v>
      </c>
      <c r="E16" s="108" t="s">
        <v>200</v>
      </c>
      <c r="F16" s="109">
        <v>0</v>
      </c>
      <c r="G16" s="109">
        <f>15.9*0.8</f>
        <v>12.72</v>
      </c>
      <c r="H16" s="109">
        <f t="shared" si="0"/>
        <v>0</v>
      </c>
      <c r="I16" s="261"/>
    </row>
    <row r="17" ht="22.5" spans="1:12">
      <c r="A17" s="117"/>
      <c r="B17" s="117"/>
      <c r="C17" s="108" t="s">
        <v>253</v>
      </c>
      <c r="D17" s="263" t="s">
        <v>254</v>
      </c>
      <c r="E17" s="108" t="s">
        <v>200</v>
      </c>
      <c r="F17" s="109">
        <v>74.9</v>
      </c>
      <c r="G17" s="109">
        <v>580</v>
      </c>
      <c r="H17" s="109">
        <f t="shared" si="0"/>
        <v>43442</v>
      </c>
      <c r="I17" s="261"/>
    </row>
    <row r="18" ht="16" customHeight="1" spans="1:12">
      <c r="A18" s="118"/>
      <c r="B18" s="117"/>
      <c r="C18" s="108" t="s">
        <v>255</v>
      </c>
      <c r="D18" s="263" t="s">
        <v>256</v>
      </c>
      <c r="E18" s="108" t="s">
        <v>257</v>
      </c>
      <c r="F18" s="109">
        <v>4078</v>
      </c>
      <c r="G18" s="264">
        <v>10</v>
      </c>
      <c r="H18" s="109">
        <f t="shared" si="0"/>
        <v>40780</v>
      </c>
      <c r="I18" s="261"/>
    </row>
    <row r="19" customFormat="1" ht="101.25" spans="1:12">
      <c r="A19" s="118">
        <v>2</v>
      </c>
      <c r="B19" s="265" t="s">
        <v>213</v>
      </c>
      <c r="C19" s="266"/>
      <c r="D19" s="263" t="s">
        <v>258</v>
      </c>
      <c r="E19" s="108" t="s">
        <v>259</v>
      </c>
      <c r="F19" s="109">
        <v>1</v>
      </c>
      <c r="G19" s="264">
        <f>18960*0.5*1.09</f>
        <v>10333.2</v>
      </c>
      <c r="H19" s="109">
        <f>F19*G19</f>
        <v>10333.2</v>
      </c>
      <c r="I19" s="267" t="s">
        <v>260</v>
      </c>
    </row>
    <row r="20" s="93" customFormat="1" ht="28" customHeight="1" spans="1:12">
      <c r="A20" s="108">
        <v>3</v>
      </c>
      <c r="B20" s="265" t="s">
        <v>261</v>
      </c>
      <c r="C20" s="266"/>
      <c r="D20" s="263" t="s">
        <v>262</v>
      </c>
      <c r="E20" s="108" t="s">
        <v>257</v>
      </c>
      <c r="F20" s="109">
        <v>1880</v>
      </c>
      <c r="G20" s="264">
        <v>42.5</v>
      </c>
      <c r="H20" s="264">
        <f t="shared" ref="H20:H25" si="1">G20*F20</f>
        <v>79900</v>
      </c>
      <c r="I20" s="268" t="s">
        <v>263</v>
      </c>
    </row>
    <row r="21" s="93" customFormat="1" ht="28" customHeight="1" spans="1:12">
      <c r="A21" s="112">
        <v>4</v>
      </c>
      <c r="B21" s="164" t="s">
        <v>264</v>
      </c>
      <c r="C21" s="165"/>
      <c r="D21" s="263" t="s">
        <v>265</v>
      </c>
      <c r="E21" s="108" t="s">
        <v>200</v>
      </c>
      <c r="F21" s="109">
        <v>315.779</v>
      </c>
      <c r="G21" s="264">
        <v>3.56</v>
      </c>
      <c r="H21" s="264">
        <f t="shared" si="1"/>
        <v>1124.17324</v>
      </c>
      <c r="I21" s="268"/>
    </row>
    <row r="22" s="93" customFormat="1" ht="28" customHeight="1" spans="1:12">
      <c r="A22" s="117"/>
      <c r="B22" s="269"/>
      <c r="C22" s="270"/>
      <c r="D22" s="263" t="s">
        <v>266</v>
      </c>
      <c r="E22" s="108" t="s">
        <v>200</v>
      </c>
      <c r="F22" s="109">
        <v>315.779</v>
      </c>
      <c r="G22" s="264">
        <v>1.15</v>
      </c>
      <c r="H22" s="264">
        <f t="shared" si="1"/>
        <v>363.14585</v>
      </c>
      <c r="I22" s="268"/>
    </row>
    <row r="23" s="93" customFormat="1" ht="28" customHeight="1" spans="1:12">
      <c r="A23" s="117"/>
      <c r="B23" s="269"/>
      <c r="C23" s="270"/>
      <c r="D23" s="263" t="s">
        <v>267</v>
      </c>
      <c r="E23" s="108" t="s">
        <v>268</v>
      </c>
      <c r="F23" s="109">
        <v>1.177</v>
      </c>
      <c r="G23" s="264">
        <v>10960</v>
      </c>
      <c r="H23" s="264">
        <f t="shared" si="1"/>
        <v>12899.92</v>
      </c>
      <c r="I23" s="268"/>
    </row>
    <row r="24" s="93" customFormat="1" ht="28" customHeight="1" spans="1:12">
      <c r="A24" s="117"/>
      <c r="B24" s="269"/>
      <c r="C24" s="270"/>
      <c r="D24" s="263" t="s">
        <v>269</v>
      </c>
      <c r="E24" s="108" t="s">
        <v>268</v>
      </c>
      <c r="F24" s="109">
        <v>2897.909</v>
      </c>
      <c r="G24" s="264">
        <v>0.79</v>
      </c>
      <c r="H24" s="264">
        <f t="shared" si="1"/>
        <v>2289.34811</v>
      </c>
      <c r="I24" s="268"/>
    </row>
    <row r="25" s="93" customFormat="1" ht="28" customHeight="1" spans="1:12">
      <c r="A25" s="118"/>
      <c r="B25" s="271"/>
      <c r="C25" s="272"/>
      <c r="D25" s="263" t="s">
        <v>270</v>
      </c>
      <c r="E25" s="108" t="s">
        <v>268</v>
      </c>
      <c r="F25" s="109">
        <v>8875.865</v>
      </c>
      <c r="G25" s="153">
        <v>3.04</v>
      </c>
      <c r="H25" s="264">
        <f t="shared" si="1"/>
        <v>26982.6296</v>
      </c>
      <c r="I25" s="273"/>
      <c r="J25" s="274"/>
      <c r="K25" s="275"/>
      <c r="L25" s="275"/>
    </row>
    <row r="26" ht="17" customHeight="1" spans="1:12">
      <c r="A26" s="276"/>
      <c r="B26" s="120"/>
      <c r="C26" s="277" t="s">
        <v>271</v>
      </c>
      <c r="D26" s="278"/>
      <c r="E26" s="120" t="s">
        <v>272</v>
      </c>
      <c r="F26" s="120" t="s">
        <v>272</v>
      </c>
      <c r="G26" s="279"/>
      <c r="H26" s="81">
        <f>SUM(H6:H25)</f>
        <v>777641.7276</v>
      </c>
      <c r="I26" s="280"/>
      <c r="J26" s="274"/>
      <c r="K26" s="275"/>
      <c r="L26" s="275"/>
    </row>
    <row r="27" customFormat="1" ht="27" customHeight="1" spans="1:12">
      <c r="A27" s="276"/>
      <c r="B27" s="120"/>
      <c r="C27" s="281" t="s">
        <v>273</v>
      </c>
      <c r="D27" s="282"/>
      <c r="E27" s="282"/>
      <c r="F27" s="283"/>
      <c r="G27" s="282"/>
      <c r="H27" s="284"/>
      <c r="I27" s="285"/>
      <c r="J27" s="274"/>
      <c r="K27" s="275"/>
      <c r="L27" s="275"/>
    </row>
    <row r="28" s="92" customFormat="1" ht="28" customHeight="1" spans="1:12">
      <c r="A28" s="286" t="s">
        <v>274</v>
      </c>
      <c r="B28" s="287"/>
      <c r="C28" s="288" t="s">
        <v>275</v>
      </c>
      <c r="D28" s="289"/>
      <c r="E28" s="289"/>
      <c r="F28" s="289"/>
      <c r="G28" s="289"/>
      <c r="H28" s="289"/>
      <c r="I28" s="290"/>
    </row>
    <row r="29" s="92" customFormat="1" ht="19.2" customHeight="1" spans="1:12">
      <c r="A29" s="124"/>
      <c r="B29" s="125"/>
      <c r="C29" s="291" t="s">
        <v>276</v>
      </c>
      <c r="D29" s="291"/>
      <c r="E29" s="292"/>
      <c r="F29" s="291"/>
      <c r="G29" s="291"/>
      <c r="H29" s="291"/>
      <c r="I29" s="291"/>
    </row>
    <row r="30" s="92" customFormat="1" ht="33" customHeight="1" spans="1:12">
      <c r="A30" s="124"/>
      <c r="B30" s="125"/>
      <c r="C30" s="293" t="s">
        <v>277</v>
      </c>
      <c r="D30" s="293"/>
      <c r="E30" s="293"/>
      <c r="F30" s="293"/>
      <c r="G30" s="293"/>
      <c r="H30" s="293"/>
      <c r="I30" s="293"/>
    </row>
    <row r="31" s="92" customFormat="1" ht="45" customHeight="1" spans="1:12">
      <c r="A31" s="124"/>
      <c r="B31" s="125"/>
      <c r="C31" s="293" t="s">
        <v>278</v>
      </c>
      <c r="D31" s="293"/>
      <c r="E31" s="293"/>
      <c r="F31" s="293"/>
      <c r="G31" s="293"/>
      <c r="H31" s="293"/>
      <c r="I31" s="293"/>
    </row>
    <row r="32" s="92" customFormat="1" ht="30" customHeight="1" spans="1:12">
      <c r="A32" s="124"/>
      <c r="B32" s="125"/>
      <c r="C32" s="294" t="s">
        <v>279</v>
      </c>
      <c r="D32" s="293"/>
      <c r="E32" s="293"/>
      <c r="F32" s="293"/>
      <c r="G32" s="293"/>
      <c r="H32" s="293"/>
      <c r="I32" s="293"/>
    </row>
    <row r="33" s="92" customFormat="1" ht="19" customHeight="1" spans="1:9">
      <c r="A33" s="136"/>
      <c r="B33" s="137"/>
      <c r="C33" s="295" t="s">
        <v>280</v>
      </c>
      <c r="D33" s="296"/>
      <c r="E33" s="296"/>
      <c r="F33" s="296"/>
      <c r="G33" s="296"/>
      <c r="H33" s="296"/>
      <c r="I33" s="297"/>
    </row>
    <row r="34" s="92" customFormat="1" ht="23" customHeight="1" spans="1:9">
      <c r="A34" s="138"/>
      <c r="B34" s="8" t="s">
        <v>281</v>
      </c>
      <c r="D34" s="298" t="s">
        <v>282</v>
      </c>
    </row>
    <row r="35" s="92" customFormat="1" ht="22" customHeight="1" spans="1:9">
      <c r="A35" s="138"/>
      <c r="B35" s="1" t="s">
        <v>283</v>
      </c>
    </row>
    <row r="36" s="93" customFormat="1" ht="21" customHeight="1" spans="1:9">
      <c r="A36" s="138"/>
      <c r="B36" s="1" t="s">
        <v>284</v>
      </c>
      <c r="C36" s="92"/>
      <c r="D36" s="92"/>
      <c r="E36" s="92"/>
      <c r="F36" s="92"/>
      <c r="G36" s="92"/>
      <c r="H36" s="92"/>
      <c r="I36" s="92"/>
    </row>
    <row r="37" s="93" customFormat="1" ht="13.5" spans="1:9">
      <c r="A37" s="138"/>
      <c r="B37" s="92" t="s">
        <v>285</v>
      </c>
      <c r="C37" s="92"/>
      <c r="E37" s="92"/>
      <c r="F37" s="92"/>
      <c r="G37" s="92"/>
      <c r="H37" s="92"/>
      <c r="I37" s="92"/>
    </row>
    <row r="40" spans="1:9">
      <c r="C40" s="93">
        <f>21022575</f>
        <v>21022575</v>
      </c>
    </row>
    <row r="45" spans="1:9">
      <c r="F45" s="299"/>
    </row>
  </sheetData>
  <mergeCells count="27">
    <mergeCell ref="A1:E1"/>
    <mergeCell ref="G1:I1"/>
    <mergeCell ref="B19:C19"/>
    <mergeCell ref="B20:C20"/>
    <mergeCell ref="C26:D26"/>
    <mergeCell ref="C27:H27"/>
    <mergeCell ref="C28:I28"/>
    <mergeCell ref="C29:I29"/>
    <mergeCell ref="C30:I30"/>
    <mergeCell ref="C31:I31"/>
    <mergeCell ref="C32:I32"/>
    <mergeCell ref="C33:I33"/>
    <mergeCell ref="A3:A4"/>
    <mergeCell ref="A5:A18"/>
    <mergeCell ref="A21:A25"/>
    <mergeCell ref="B3:B4"/>
    <mergeCell ref="B5:B18"/>
    <mergeCell ref="D6:D13"/>
    <mergeCell ref="E3:E4"/>
    <mergeCell ref="F3:F4"/>
    <mergeCell ref="G3:G4"/>
    <mergeCell ref="H3:H4"/>
    <mergeCell ref="I3:I4"/>
    <mergeCell ref="I6:I18"/>
    <mergeCell ref="C3:D4"/>
    <mergeCell ref="A28:B33"/>
    <mergeCell ref="B21:C25"/>
  </mergeCells>
  <printOptions horizontalCentered="1" verticalCentered="1"/>
  <pageMargins left="0.196527777777778" right="0.196527777777778" top="0.196527777777778" bottom="0.196527777777778" header="0" footer="0"/>
  <pageSetup paperSize="9" scale="58" orientation="landscape" useFirstPageNumber="1"/>
  <headerFooter/>
  <rowBreaks count="2" manualBreakCount="2">
    <brk id="37" max="16383" man="1"/>
    <brk id="38" max="16383"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T75"/>
  <sheetViews>
    <sheetView workbookViewId="0">
      <selection activeCell="J22" sqref="J22"/>
    </sheetView>
  </sheetViews>
  <sheetFormatPr defaultColWidth="9" defaultRowHeight="13.5"/>
  <cols>
    <col min="1" max="1" width="13.375" style="91" customWidth="1"/>
    <col min="2" max="2" width="10.2583333333333" style="91" customWidth="1"/>
    <col min="3" max="3" width="10.625" style="91" customWidth="1"/>
    <col min="4" max="4" width="9.625" style="91" customWidth="1"/>
    <col min="5" max="5" width="8.625" style="91" customWidth="1"/>
    <col min="6" max="6" width="10.125" style="91" customWidth="1"/>
    <col min="7" max="7" width="8.625" style="91" customWidth="1"/>
    <col min="8" max="8" width="11.375" style="91" customWidth="1"/>
    <col min="9" max="9" width="12.2583333333333" style="91" customWidth="1"/>
    <col min="10" max="10" width="9.125" style="91" customWidth="1"/>
    <col min="11" max="11" width="12.7583333333333" style="91" customWidth="1"/>
    <col min="12" max="12" width="13.125" style="91" customWidth="1"/>
    <col min="13" max="13" width="15.375" style="91" customWidth="1"/>
    <col min="14" max="14" width="10.5" style="91" customWidth="1"/>
    <col min="15" max="15" width="11.125" style="91" customWidth="1"/>
    <col min="16" max="16" width="9.25833333333333" style="91"/>
    <col min="17" max="17" width="7.5" style="91" customWidth="1"/>
    <col min="18" max="18" width="5.75833333333333" style="91" customWidth="1"/>
    <col min="19" max="19" width="19.7583333333333" style="91" customWidth="1"/>
    <col min="20" max="20" width="9.5" style="91"/>
    <col min="21" max="16384" width="9" style="91"/>
  </cols>
  <sheetData>
    <row r="1" ht="23.1" customHeight="1" spans="1:20">
      <c r="A1" s="168" t="s">
        <v>286</v>
      </c>
      <c r="B1" s="169" t="s">
        <v>287</v>
      </c>
      <c r="C1" s="170" t="s">
        <v>288</v>
      </c>
      <c r="D1" s="170"/>
      <c r="E1" s="171"/>
      <c r="F1" s="170"/>
      <c r="G1" s="171"/>
      <c r="H1" s="170"/>
      <c r="I1" s="172" t="s">
        <v>289</v>
      </c>
      <c r="J1" s="172"/>
      <c r="K1" s="168" t="s">
        <v>290</v>
      </c>
      <c r="L1" s="168"/>
      <c r="M1" s="172" t="s">
        <v>291</v>
      </c>
      <c r="N1" s="172"/>
      <c r="O1" s="172" t="s">
        <v>292</v>
      </c>
      <c r="P1" s="172"/>
      <c r="Q1" s="173"/>
    </row>
    <row r="2" spans="1:20">
      <c r="A2" s="168"/>
      <c r="B2" s="174"/>
      <c r="C2" s="170" t="s">
        <v>293</v>
      </c>
      <c r="D2" s="175" t="s">
        <v>294</v>
      </c>
      <c r="E2" s="170" t="s">
        <v>293</v>
      </c>
      <c r="F2" s="175" t="s">
        <v>294</v>
      </c>
      <c r="G2" s="170" t="s">
        <v>293</v>
      </c>
      <c r="H2" s="175" t="s">
        <v>294</v>
      </c>
      <c r="I2" s="176" t="s">
        <v>295</v>
      </c>
      <c r="J2" s="176" t="s">
        <v>296</v>
      </c>
      <c r="K2" s="176" t="s">
        <v>295</v>
      </c>
      <c r="L2" s="176" t="s">
        <v>296</v>
      </c>
      <c r="M2" s="177" t="s">
        <v>297</v>
      </c>
      <c r="N2" s="177" t="s">
        <v>296</v>
      </c>
      <c r="O2" s="170" t="s">
        <v>298</v>
      </c>
      <c r="P2" s="178" t="e">
        <f>#REF!+#REF!</f>
        <v>#REF!</v>
      </c>
      <c r="Q2" s="179"/>
    </row>
    <row r="3" ht="14.1" customHeight="1" spans="1:20">
      <c r="A3" s="170" t="s">
        <v>299</v>
      </c>
      <c r="B3" s="170" t="s">
        <v>300</v>
      </c>
      <c r="C3" s="180" t="e">
        <f>#REF!</f>
        <v>#REF!</v>
      </c>
      <c r="D3" s="176" t="s">
        <v>295</v>
      </c>
      <c r="E3" s="176"/>
      <c r="F3" s="176" t="s">
        <v>295</v>
      </c>
      <c r="G3" s="176"/>
      <c r="H3" s="176" t="s">
        <v>295</v>
      </c>
      <c r="I3" s="181" t="e">
        <f t="shared" ref="I3:I9" si="0">C3+G3+E3</f>
        <v>#REF!</v>
      </c>
      <c r="J3" s="182"/>
      <c r="K3" s="183" t="e">
        <f t="shared" ref="K3:N3" si="1">I3</f>
        <v>#REF!</v>
      </c>
      <c r="L3" s="184">
        <f t="shared" si="1"/>
        <v>0</v>
      </c>
      <c r="M3" s="182" t="e">
        <f t="shared" ref="M3:M7" si="2">K3*0.288</f>
        <v>#REF!</v>
      </c>
      <c r="N3" s="182">
        <f t="shared" si="1"/>
        <v>0</v>
      </c>
      <c r="O3" s="170" t="s">
        <v>301</v>
      </c>
      <c r="P3" s="178" t="e">
        <f>#REF!+#REF!</f>
        <v>#REF!</v>
      </c>
      <c r="Q3" s="179"/>
    </row>
    <row r="4" spans="1:20">
      <c r="A4" s="170" t="s">
        <v>302</v>
      </c>
      <c r="B4" s="170" t="s">
        <v>300</v>
      </c>
      <c r="C4" s="180" t="e">
        <f>#REF!</f>
        <v>#REF!</v>
      </c>
      <c r="D4" s="176" t="s">
        <v>295</v>
      </c>
      <c r="E4" s="176"/>
      <c r="F4" s="176" t="s">
        <v>295</v>
      </c>
      <c r="G4" s="176"/>
      <c r="H4" s="176"/>
      <c r="I4" s="182" t="e">
        <f t="shared" si="0"/>
        <v>#REF!</v>
      </c>
      <c r="J4" s="182"/>
      <c r="K4" s="185" t="e">
        <f t="shared" ref="K4:N4" si="3">I4</f>
        <v>#REF!</v>
      </c>
      <c r="L4" s="186">
        <f t="shared" si="3"/>
        <v>0</v>
      </c>
      <c r="M4" s="182" t="e">
        <f t="shared" si="2"/>
        <v>#REF!</v>
      </c>
      <c r="N4" s="182">
        <f t="shared" si="3"/>
        <v>0</v>
      </c>
      <c r="O4" s="177" t="s">
        <v>303</v>
      </c>
      <c r="P4" s="187" t="e">
        <f>P2+P3</f>
        <v>#REF!</v>
      </c>
    </row>
    <row r="5" spans="1:20">
      <c r="A5" s="170" t="s">
        <v>304</v>
      </c>
      <c r="B5" s="170" t="s">
        <v>199</v>
      </c>
      <c r="C5" s="182" t="e">
        <f>#REF!+#REF!</f>
        <v>#REF!</v>
      </c>
      <c r="D5" s="176" t="s">
        <v>295</v>
      </c>
      <c r="E5" s="176"/>
      <c r="F5" s="176" t="s">
        <v>295</v>
      </c>
      <c r="G5" s="176"/>
      <c r="H5" s="176"/>
      <c r="I5" s="182" t="e">
        <f t="shared" si="0"/>
        <v>#REF!</v>
      </c>
      <c r="J5" s="182"/>
      <c r="K5" s="183" t="e">
        <f t="shared" ref="K5:N5" si="4">I5</f>
        <v>#REF!</v>
      </c>
      <c r="L5" s="186">
        <f t="shared" si="4"/>
        <v>0</v>
      </c>
      <c r="M5" s="182" t="e">
        <f>K5*0.36</f>
        <v>#REF!</v>
      </c>
      <c r="N5" s="182">
        <f t="shared" si="4"/>
        <v>0</v>
      </c>
    </row>
    <row r="6" spans="1:20">
      <c r="A6" s="170" t="s">
        <v>305</v>
      </c>
      <c r="B6" s="170" t="s">
        <v>199</v>
      </c>
      <c r="C6" s="182" t="e">
        <f>#REF!</f>
        <v>#REF!</v>
      </c>
      <c r="D6" s="176" t="s">
        <v>295</v>
      </c>
      <c r="E6" s="176"/>
      <c r="F6" s="176"/>
      <c r="G6" s="176"/>
      <c r="H6" s="176"/>
      <c r="I6" s="182" t="e">
        <f t="shared" si="0"/>
        <v>#REF!</v>
      </c>
      <c r="J6" s="182"/>
      <c r="K6" s="185" t="e">
        <f>I6</f>
        <v>#REF!</v>
      </c>
      <c r="L6" s="186">
        <f t="shared" ref="L6:L8" si="5">J6*1.17</f>
        <v>0</v>
      </c>
      <c r="M6" s="182" t="e">
        <f>K6*0.36</f>
        <v>#REF!</v>
      </c>
      <c r="N6" s="182">
        <f t="shared" ref="N6:N8" si="6">L6</f>
        <v>0</v>
      </c>
    </row>
    <row r="7" spans="1:20">
      <c r="A7" s="170" t="s">
        <v>306</v>
      </c>
      <c r="B7" s="170" t="s">
        <v>300</v>
      </c>
      <c r="C7" s="180" t="e">
        <f>#REF!</f>
        <v>#REF!</v>
      </c>
      <c r="D7" s="176" t="s">
        <v>295</v>
      </c>
      <c r="E7" s="182"/>
      <c r="F7" s="176" t="s">
        <v>295</v>
      </c>
      <c r="G7" s="182"/>
      <c r="H7" s="176" t="s">
        <v>295</v>
      </c>
      <c r="I7" s="182" t="e">
        <f t="shared" si="0"/>
        <v>#REF!</v>
      </c>
      <c r="J7" s="182"/>
      <c r="K7" s="185" t="e">
        <f>I7*1.17</f>
        <v>#REF!</v>
      </c>
      <c r="L7" s="186">
        <f t="shared" si="5"/>
        <v>0</v>
      </c>
      <c r="M7" s="182" t="e">
        <f t="shared" si="2"/>
        <v>#REF!</v>
      </c>
      <c r="N7" s="182">
        <f t="shared" si="6"/>
        <v>0</v>
      </c>
    </row>
    <row r="8" spans="1:20">
      <c r="A8" s="170" t="s">
        <v>241</v>
      </c>
      <c r="B8" s="170" t="s">
        <v>307</v>
      </c>
      <c r="C8" s="182"/>
      <c r="D8" s="176" t="s">
        <v>295</v>
      </c>
      <c r="E8" s="182"/>
      <c r="F8" s="176" t="s">
        <v>295</v>
      </c>
      <c r="G8" s="182"/>
      <c r="H8" s="176" t="s">
        <v>295</v>
      </c>
      <c r="I8" s="182">
        <f t="shared" si="0"/>
        <v>0</v>
      </c>
      <c r="J8" s="182">
        <f>C8+G8+E8</f>
        <v>0</v>
      </c>
      <c r="K8" s="185"/>
      <c r="L8" s="186">
        <f t="shared" si="5"/>
        <v>0</v>
      </c>
      <c r="M8" s="182">
        <f t="shared" ref="M5:M9" si="7">K8*0.383</f>
        <v>0</v>
      </c>
      <c r="N8" s="182">
        <f t="shared" si="6"/>
        <v>0</v>
      </c>
    </row>
    <row r="9" spans="1:20">
      <c r="A9" s="170" t="s">
        <v>308</v>
      </c>
      <c r="B9" s="170" t="s">
        <v>307</v>
      </c>
      <c r="C9" s="182"/>
      <c r="D9" s="176"/>
      <c r="E9" s="182"/>
      <c r="F9" s="176" t="s">
        <v>295</v>
      </c>
      <c r="G9" s="182"/>
      <c r="H9" s="176"/>
      <c r="I9" s="182">
        <f t="shared" si="0"/>
        <v>0</v>
      </c>
      <c r="J9" s="182"/>
      <c r="K9" s="185">
        <f>I9</f>
        <v>0</v>
      </c>
      <c r="L9" s="186">
        <f>J9</f>
        <v>0</v>
      </c>
      <c r="M9" s="182">
        <f t="shared" si="7"/>
        <v>0</v>
      </c>
      <c r="N9" s="182"/>
    </row>
    <row r="10" spans="1:20">
      <c r="A10" s="177" t="s">
        <v>29</v>
      </c>
      <c r="B10" s="188"/>
      <c r="C10" s="189" t="e">
        <f>SUM(C3:C9)</f>
        <v>#REF!</v>
      </c>
      <c r="D10" s="176"/>
      <c r="E10" s="189">
        <f t="shared" ref="E10:J10" si="8">SUM(E3:E8)</f>
        <v>0</v>
      </c>
      <c r="F10" s="176"/>
      <c r="G10" s="189">
        <f t="shared" si="8"/>
        <v>0</v>
      </c>
      <c r="H10" s="176"/>
      <c r="I10" s="189" t="e">
        <f t="shared" ref="I10:N10" si="9">SUM(I3:I9)</f>
        <v>#REF!</v>
      </c>
      <c r="J10" s="189">
        <f t="shared" si="8"/>
        <v>0</v>
      </c>
      <c r="K10" s="190" t="e">
        <f t="shared" si="9"/>
        <v>#REF!</v>
      </c>
      <c r="L10" s="191">
        <f t="shared" si="9"/>
        <v>0</v>
      </c>
      <c r="M10" s="192" t="e">
        <f t="shared" si="9"/>
        <v>#REF!</v>
      </c>
      <c r="N10" s="189">
        <f t="shared" si="9"/>
        <v>0</v>
      </c>
    </row>
    <row r="11" spans="1:20">
      <c r="A11" s="193"/>
      <c r="B11" s="193"/>
      <c r="C11" s="193"/>
      <c r="D11" s="193"/>
      <c r="E11" s="193"/>
      <c r="F11" s="193"/>
      <c r="G11" s="193"/>
      <c r="H11" s="193"/>
      <c r="I11" s="193"/>
      <c r="J11" s="193"/>
      <c r="K11" s="193"/>
    </row>
    <row r="12" spans="1:20">
      <c r="A12" s="194" t="s">
        <v>309</v>
      </c>
      <c r="B12" s="195"/>
      <c r="C12" s="195"/>
      <c r="D12" s="195"/>
      <c r="E12" s="195"/>
      <c r="F12" s="195"/>
      <c r="G12" s="195"/>
      <c r="H12" s="195"/>
      <c r="I12" s="195"/>
      <c r="J12" s="195"/>
      <c r="K12" s="195"/>
      <c r="L12" s="195"/>
      <c r="M12" s="195"/>
      <c r="N12" s="195"/>
      <c r="O12" s="195"/>
      <c r="P12" s="195"/>
      <c r="Q12" s="195"/>
      <c r="R12" s="195"/>
      <c r="S12" s="195"/>
      <c r="T12" s="196"/>
    </row>
    <row r="13" ht="33.95" customHeight="1" spans="1:20">
      <c r="A13" s="176" t="s">
        <v>310</v>
      </c>
      <c r="B13" s="197" t="s">
        <v>311</v>
      </c>
      <c r="C13" s="197"/>
      <c r="D13" s="197"/>
      <c r="E13" s="198" t="s">
        <v>312</v>
      </c>
      <c r="F13" s="199"/>
      <c r="G13" s="199" t="s">
        <v>312</v>
      </c>
      <c r="H13" s="199"/>
      <c r="I13" s="199"/>
      <c r="J13" s="199"/>
      <c r="K13" s="183" t="s">
        <v>313</v>
      </c>
      <c r="L13" s="183"/>
      <c r="M13" s="183"/>
      <c r="N13" s="183"/>
      <c r="O13" s="183" t="s">
        <v>314</v>
      </c>
      <c r="P13" s="183"/>
      <c r="Q13" s="183"/>
      <c r="R13" s="183"/>
      <c r="S13" s="200" t="s">
        <v>315</v>
      </c>
    </row>
    <row r="14" ht="33.95" customHeight="1" spans="1:20">
      <c r="A14" s="176"/>
      <c r="B14" s="197" t="s">
        <v>29</v>
      </c>
      <c r="C14" s="201" t="s">
        <v>296</v>
      </c>
      <c r="D14" s="202" t="s">
        <v>295</v>
      </c>
      <c r="E14" s="203" t="s">
        <v>316</v>
      </c>
      <c r="F14" s="203" t="s">
        <v>317</v>
      </c>
      <c r="G14" s="203" t="s">
        <v>316</v>
      </c>
      <c r="H14" s="203" t="s">
        <v>317</v>
      </c>
      <c r="I14" s="203" t="s">
        <v>318</v>
      </c>
      <c r="J14" s="203" t="s">
        <v>319</v>
      </c>
      <c r="K14" s="203" t="s">
        <v>316</v>
      </c>
      <c r="L14" s="203" t="s">
        <v>317</v>
      </c>
      <c r="M14" s="203" t="s">
        <v>318</v>
      </c>
      <c r="N14" s="203" t="s">
        <v>319</v>
      </c>
      <c r="O14" s="203" t="s">
        <v>316</v>
      </c>
      <c r="P14" s="203" t="s">
        <v>317</v>
      </c>
      <c r="Q14" s="203" t="s">
        <v>318</v>
      </c>
      <c r="R14" s="203" t="s">
        <v>319</v>
      </c>
      <c r="S14" s="204" t="s">
        <v>272</v>
      </c>
    </row>
    <row r="15" ht="36" customHeight="1" spans="1:20">
      <c r="A15" s="176" t="s">
        <v>300</v>
      </c>
      <c r="B15" s="182"/>
      <c r="C15" s="186">
        <f>L3+L7+L4</f>
        <v>0</v>
      </c>
      <c r="D15" s="185" t="e">
        <f>K4+K3</f>
        <v>#REF!</v>
      </c>
      <c r="E15" s="205">
        <f>B15*0.288</f>
        <v>0</v>
      </c>
      <c r="F15" s="205">
        <f>B15*0.49</f>
        <v>0</v>
      </c>
      <c r="G15" s="205" t="e">
        <f>D15*0.288</f>
        <v>#REF!</v>
      </c>
      <c r="H15" s="205" t="e">
        <f>D15*0.49</f>
        <v>#REF!</v>
      </c>
      <c r="I15" s="205" t="e">
        <f>D15*0.84</f>
        <v>#REF!</v>
      </c>
      <c r="J15" s="205">
        <f>B15*0.18</f>
        <v>0</v>
      </c>
      <c r="K15" s="205">
        <f>660/1.03</f>
        <v>640.776699029126</v>
      </c>
      <c r="L15" s="205">
        <f t="shared" ref="L15:L17" si="10">280/1.03</f>
        <v>271.844660194175</v>
      </c>
      <c r="M15" s="205">
        <f t="shared" ref="M15:M17" si="11">150/1.03</f>
        <v>145.631067961165</v>
      </c>
      <c r="N15" s="205">
        <f t="shared" ref="N15:N17" si="12">3/1.03</f>
        <v>2.9126213592233</v>
      </c>
      <c r="O15" s="206" t="e">
        <f t="shared" ref="O15:R15" si="13">G15*K15</f>
        <v>#REF!</v>
      </c>
      <c r="P15" s="206" t="e">
        <f t="shared" si="13"/>
        <v>#REF!</v>
      </c>
      <c r="Q15" s="206" t="e">
        <f t="shared" si="13"/>
        <v>#REF!</v>
      </c>
      <c r="R15" s="206">
        <f t="shared" si="13"/>
        <v>0</v>
      </c>
      <c r="S15" s="207" t="e">
        <f t="shared" ref="S15:S17" si="14">SUM(O15:R15)*1.09</f>
        <v>#REF!</v>
      </c>
    </row>
    <row r="16" spans="1:20">
      <c r="A16" s="176" t="s">
        <v>199</v>
      </c>
      <c r="B16" s="182"/>
      <c r="C16" s="186">
        <f>L5+L6</f>
        <v>0</v>
      </c>
      <c r="D16" s="185" t="e">
        <f>K5</f>
        <v>#REF!</v>
      </c>
      <c r="E16" s="205">
        <f>B16*0.36</f>
        <v>0</v>
      </c>
      <c r="F16" s="205">
        <f>0.41*B16</f>
        <v>0</v>
      </c>
      <c r="G16" s="205" t="e">
        <f>D16*0.36</f>
        <v>#REF!</v>
      </c>
      <c r="H16" s="205" t="e">
        <f>0.447*D16</f>
        <v>#REF!</v>
      </c>
      <c r="I16" s="205" t="e">
        <f>0.926*D16</f>
        <v>#REF!</v>
      </c>
      <c r="J16" s="205" t="e">
        <f>D16*0.18</f>
        <v>#REF!</v>
      </c>
      <c r="K16" s="205">
        <f>705/1.03</f>
        <v>684.466019417476</v>
      </c>
      <c r="L16" s="205">
        <f t="shared" si="10"/>
        <v>271.844660194175</v>
      </c>
      <c r="M16" s="205">
        <f t="shared" si="11"/>
        <v>145.631067961165</v>
      </c>
      <c r="N16" s="205">
        <f t="shared" si="12"/>
        <v>2.9126213592233</v>
      </c>
      <c r="O16" s="206" t="e">
        <f t="shared" ref="O16:R16" si="15">G16*K16</f>
        <v>#REF!</v>
      </c>
      <c r="P16" s="206" t="e">
        <f t="shared" si="15"/>
        <v>#REF!</v>
      </c>
      <c r="Q16" s="206" t="e">
        <f t="shared" si="15"/>
        <v>#REF!</v>
      </c>
      <c r="R16" s="206" t="e">
        <f t="shared" si="15"/>
        <v>#REF!</v>
      </c>
      <c r="S16" s="207" t="e">
        <f t="shared" si="14"/>
        <v>#REF!</v>
      </c>
    </row>
    <row r="17" spans="1:19">
      <c r="A17" s="176" t="s">
        <v>307</v>
      </c>
      <c r="B17" s="182"/>
      <c r="C17" s="186">
        <f>L8</f>
        <v>0</v>
      </c>
      <c r="D17" s="185">
        <v>0</v>
      </c>
      <c r="E17" s="205">
        <f>B17*0.383</f>
        <v>0</v>
      </c>
      <c r="F17" s="205">
        <f>0.42*B17</f>
        <v>0</v>
      </c>
      <c r="G17" s="205">
        <f>D17*0.383</f>
        <v>0</v>
      </c>
      <c r="H17" s="205">
        <f>0.42*D17</f>
        <v>0</v>
      </c>
      <c r="I17" s="205">
        <f>0.86*D17</f>
        <v>0</v>
      </c>
      <c r="J17" s="205">
        <f>B17*0.18</f>
        <v>0</v>
      </c>
      <c r="K17" s="205">
        <f>705/1.03</f>
        <v>684.466019417476</v>
      </c>
      <c r="L17" s="205">
        <f t="shared" si="10"/>
        <v>271.844660194175</v>
      </c>
      <c r="M17" s="205">
        <f t="shared" si="11"/>
        <v>145.631067961165</v>
      </c>
      <c r="N17" s="205">
        <f t="shared" si="12"/>
        <v>2.9126213592233</v>
      </c>
      <c r="O17" s="206">
        <f t="shared" ref="O17:R17" si="16">G17*K17</f>
        <v>0</v>
      </c>
      <c r="P17" s="206">
        <f t="shared" si="16"/>
        <v>0</v>
      </c>
      <c r="Q17" s="206">
        <f t="shared" si="16"/>
        <v>0</v>
      </c>
      <c r="R17" s="206">
        <f t="shared" si="16"/>
        <v>0</v>
      </c>
      <c r="S17" s="207">
        <f t="shared" si="14"/>
        <v>0</v>
      </c>
    </row>
    <row r="18" spans="1:19">
      <c r="A18" s="176" t="s">
        <v>29</v>
      </c>
      <c r="B18" s="182">
        <f t="shared" ref="B18:J18" si="17">SUM(B15:B17)</f>
        <v>0</v>
      </c>
      <c r="C18" s="186">
        <f t="shared" si="17"/>
        <v>0</v>
      </c>
      <c r="D18" s="185" t="e">
        <f t="shared" si="17"/>
        <v>#REF!</v>
      </c>
      <c r="E18" s="205">
        <f t="shared" si="17"/>
        <v>0</v>
      </c>
      <c r="F18" s="205">
        <f t="shared" si="17"/>
        <v>0</v>
      </c>
      <c r="G18" s="205" t="e">
        <f t="shared" si="17"/>
        <v>#REF!</v>
      </c>
      <c r="H18" s="205" t="e">
        <f t="shared" si="17"/>
        <v>#REF!</v>
      </c>
      <c r="I18" s="205" t="e">
        <f t="shared" si="17"/>
        <v>#REF!</v>
      </c>
      <c r="J18" s="205" t="e">
        <f t="shared" si="17"/>
        <v>#REF!</v>
      </c>
      <c r="K18" s="203" t="s">
        <v>272</v>
      </c>
      <c r="L18" s="203" t="s">
        <v>272</v>
      </c>
      <c r="M18" s="203" t="s">
        <v>272</v>
      </c>
      <c r="N18" s="203" t="s">
        <v>272</v>
      </c>
      <c r="O18" s="206" t="e">
        <f>SUM(O15:O17)</f>
        <v>#REF!</v>
      </c>
      <c r="P18" s="206" t="e">
        <f t="shared" ref="P18:R18" si="18">SUM(P15:P17)*1.09</f>
        <v>#REF!</v>
      </c>
      <c r="Q18" s="206" t="e">
        <f t="shared" si="18"/>
        <v>#REF!</v>
      </c>
      <c r="R18" s="206" t="e">
        <f t="shared" si="18"/>
        <v>#REF!</v>
      </c>
      <c r="S18" s="208" t="e">
        <f>SUM(P18:R18)</f>
        <v>#REF!</v>
      </c>
    </row>
    <row r="19" ht="27.95" customHeight="1" spans="1:19">
      <c r="A19" s="197" t="s">
        <v>320</v>
      </c>
      <c r="B19" s="197" t="s">
        <v>321</v>
      </c>
      <c r="C19" s="197" t="s">
        <v>322</v>
      </c>
      <c r="D19" s="209" t="s">
        <v>323</v>
      </c>
    </row>
    <row r="20" spans="1:19">
      <c r="A20" s="197"/>
      <c r="B20" s="172">
        <v>1016</v>
      </c>
      <c r="C20" s="192" t="e">
        <f>I10</f>
        <v>#REF!</v>
      </c>
      <c r="D20" s="210" t="e">
        <f>B20*C20</f>
        <v>#REF!</v>
      </c>
      <c r="H20" s="196"/>
      <c r="I20" s="211"/>
      <c r="J20" s="211"/>
      <c r="K20" s="211"/>
      <c r="L20" s="211"/>
      <c r="M20" s="211"/>
      <c r="N20" s="211"/>
    </row>
    <row r="21" spans="1:19">
      <c r="A21" s="212" t="s">
        <v>324</v>
      </c>
      <c r="B21" s="213"/>
      <c r="C21" s="214"/>
      <c r="D21" s="215" t="e">
        <f>S18+D20</f>
        <v>#REF!</v>
      </c>
      <c r="H21" s="196"/>
      <c r="I21" s="211"/>
      <c r="J21" s="216"/>
      <c r="K21" s="196"/>
      <c r="L21" s="196"/>
      <c r="M21" s="196"/>
      <c r="N21" s="196"/>
      <c r="O21" s="217"/>
      <c r="P21" s="217"/>
      <c r="Q21" s="217"/>
    </row>
    <row r="22" ht="24" customHeight="1" spans="1:19">
      <c r="A22" s="209" t="s">
        <v>325</v>
      </c>
      <c r="B22" s="209"/>
      <c r="C22" s="209"/>
      <c r="D22" s="218" t="e">
        <f>D21/C20</f>
        <v>#REF!</v>
      </c>
      <c r="E22" s="91" t="e">
        <f>D22*J29</f>
        <v>#REF!</v>
      </c>
      <c r="H22" s="196"/>
      <c r="I22" s="211"/>
      <c r="J22" s="196"/>
      <c r="K22" s="196"/>
      <c r="L22" s="196"/>
      <c r="M22" s="196"/>
      <c r="N22" s="196"/>
    </row>
    <row r="23" spans="1:19">
      <c r="A23" s="211"/>
      <c r="B23" s="219"/>
      <c r="C23" s="219"/>
      <c r="D23" s="211"/>
      <c r="E23" s="211"/>
      <c r="F23" s="211"/>
      <c r="G23" s="211"/>
      <c r="H23" s="211"/>
      <c r="I23" s="211"/>
      <c r="J23" s="211"/>
      <c r="K23" s="211"/>
      <c r="L23" s="211"/>
      <c r="N23" s="217"/>
      <c r="O23" s="217"/>
      <c r="P23" s="217"/>
      <c r="Q23" s="220"/>
    </row>
    <row r="24" spans="1:19">
      <c r="A24" s="221" t="s">
        <v>326</v>
      </c>
      <c r="B24" s="222"/>
      <c r="C24" s="222"/>
      <c r="D24" s="222"/>
      <c r="E24" s="222"/>
      <c r="F24" s="222"/>
      <c r="G24" s="222"/>
      <c r="H24" s="222"/>
      <c r="I24" s="222"/>
      <c r="J24" s="222"/>
      <c r="K24" s="222"/>
      <c r="L24" s="223"/>
      <c r="M24" s="193"/>
    </row>
    <row r="25" spans="1:19">
      <c r="A25" s="224" t="s">
        <v>327</v>
      </c>
      <c r="B25" s="176" t="s">
        <v>95</v>
      </c>
      <c r="C25" s="176" t="s">
        <v>96</v>
      </c>
      <c r="D25" s="176" t="s">
        <v>98</v>
      </c>
      <c r="E25" s="176" t="s">
        <v>99</v>
      </c>
      <c r="F25" s="176" t="s">
        <v>328</v>
      </c>
      <c r="G25" s="176" t="s">
        <v>97</v>
      </c>
      <c r="H25" s="176" t="s">
        <v>329</v>
      </c>
      <c r="I25" s="176" t="s">
        <v>330</v>
      </c>
      <c r="J25" s="225" t="s">
        <v>331</v>
      </c>
      <c r="K25" s="226" t="s">
        <v>332</v>
      </c>
      <c r="L25" s="226" t="s">
        <v>333</v>
      </c>
    </row>
    <row r="26" spans="1:19">
      <c r="A26" s="224" t="s">
        <v>334</v>
      </c>
      <c r="B26" s="176">
        <v>1</v>
      </c>
      <c r="C26" s="176">
        <v>1.1</v>
      </c>
      <c r="D26" s="176">
        <v>1.2</v>
      </c>
      <c r="E26" s="176">
        <v>1.4</v>
      </c>
      <c r="F26" s="176">
        <v>1.5</v>
      </c>
      <c r="G26" s="176">
        <v>1.4</v>
      </c>
      <c r="H26" s="176">
        <v>1.1</v>
      </c>
      <c r="I26" s="176">
        <v>1.3</v>
      </c>
      <c r="J26" s="225"/>
      <c r="K26" s="197"/>
      <c r="L26" s="197"/>
    </row>
    <row r="27" spans="1:19">
      <c r="A27" s="224" t="s">
        <v>327</v>
      </c>
      <c r="B27" s="176" t="s">
        <v>95</v>
      </c>
      <c r="C27" s="176" t="s">
        <v>96</v>
      </c>
      <c r="D27" s="176" t="s">
        <v>98</v>
      </c>
      <c r="E27" s="176" t="s">
        <v>99</v>
      </c>
      <c r="F27" s="176" t="s">
        <v>328</v>
      </c>
      <c r="G27" s="176" t="s">
        <v>97</v>
      </c>
      <c r="H27" s="176" t="s">
        <v>329</v>
      </c>
      <c r="I27" s="176" t="s">
        <v>330</v>
      </c>
      <c r="J27" s="225"/>
      <c r="K27" s="197"/>
      <c r="L27" s="197"/>
      <c r="M27" s="227"/>
    </row>
    <row r="28" spans="1:19">
      <c r="A28" s="224" t="s">
        <v>335</v>
      </c>
      <c r="B28" s="228">
        <v>0.01</v>
      </c>
      <c r="C28" s="229">
        <v>0.789</v>
      </c>
      <c r="D28" s="229">
        <v>0.072</v>
      </c>
      <c r="E28" s="228">
        <v>0</v>
      </c>
      <c r="F28" s="229">
        <v>0</v>
      </c>
      <c r="G28" s="229">
        <v>0</v>
      </c>
      <c r="H28" s="229">
        <v>0.138</v>
      </c>
      <c r="I28" s="229">
        <v>0</v>
      </c>
      <c r="J28" s="225"/>
      <c r="K28" s="197"/>
      <c r="L28" s="197"/>
      <c r="M28" s="227"/>
    </row>
    <row r="29" spans="1:19">
      <c r="A29" s="224" t="s">
        <v>336</v>
      </c>
      <c r="B29" s="181">
        <f t="shared" ref="B29:I29" si="19">B26*B28</f>
        <v>0.01</v>
      </c>
      <c r="C29" s="181">
        <f t="shared" si="19"/>
        <v>0.8679</v>
      </c>
      <c r="D29" s="181">
        <f t="shared" si="19"/>
        <v>0.0864</v>
      </c>
      <c r="E29" s="181">
        <f t="shared" si="19"/>
        <v>0</v>
      </c>
      <c r="F29" s="181">
        <f t="shared" si="19"/>
        <v>0</v>
      </c>
      <c r="G29" s="181">
        <f t="shared" si="19"/>
        <v>0</v>
      </c>
      <c r="H29" s="181">
        <f t="shared" si="19"/>
        <v>0.1518</v>
      </c>
      <c r="I29" s="181">
        <f t="shared" si="19"/>
        <v>0</v>
      </c>
      <c r="J29" s="181">
        <f>SUM(B29:I29)</f>
        <v>1.1161</v>
      </c>
      <c r="K29" s="230">
        <f>L29+M29</f>
        <v>1389.2876</v>
      </c>
      <c r="L29" s="172">
        <f>J29*B20</f>
        <v>1133.9576</v>
      </c>
      <c r="M29" s="173">
        <f>(0.447+0.42)/2*L16*1.03+(0.926+0.86)/2*M16*1.03</f>
        <v>255.33</v>
      </c>
    </row>
    <row r="32" spans="1:19">
      <c r="A32" s="231" t="s">
        <v>337</v>
      </c>
      <c r="B32" s="120" t="s">
        <v>338</v>
      </c>
      <c r="C32" s="232" t="s">
        <v>339</v>
      </c>
      <c r="D32" s="233"/>
      <c r="E32" s="233"/>
      <c r="F32" s="233"/>
      <c r="G32" s="233"/>
      <c r="H32" s="233"/>
      <c r="I32" s="233"/>
      <c r="J32" s="234"/>
      <c r="K32" s="235" t="s">
        <v>340</v>
      </c>
      <c r="L32" s="236"/>
      <c r="M32" s="236"/>
      <c r="N32" s="236"/>
      <c r="O32" s="236"/>
      <c r="P32" s="236"/>
    </row>
    <row r="33" spans="1:16">
      <c r="A33" s="231"/>
      <c r="B33" s="237"/>
      <c r="C33" s="232" t="s">
        <v>341</v>
      </c>
      <c r="D33" s="238" t="s">
        <v>342</v>
      </c>
      <c r="E33" s="239" t="s">
        <v>343</v>
      </c>
      <c r="F33" s="238" t="s">
        <v>344</v>
      </c>
      <c r="G33" s="239" t="s">
        <v>343</v>
      </c>
      <c r="H33" s="238" t="s">
        <v>344</v>
      </c>
      <c r="I33" s="238" t="s">
        <v>345</v>
      </c>
      <c r="J33" s="240" t="s">
        <v>173</v>
      </c>
      <c r="K33" s="235" t="s">
        <v>341</v>
      </c>
      <c r="L33" s="235" t="s">
        <v>342</v>
      </c>
      <c r="M33" s="235" t="s">
        <v>343</v>
      </c>
      <c r="N33" s="235" t="s">
        <v>345</v>
      </c>
      <c r="O33" s="235" t="s">
        <v>344</v>
      </c>
      <c r="P33" s="235" t="s">
        <v>173</v>
      </c>
    </row>
    <row r="34" spans="1:16">
      <c r="A34" s="120" t="s">
        <v>95</v>
      </c>
      <c r="B34" s="241">
        <f>B28</f>
        <v>0.01</v>
      </c>
      <c r="C34" s="242">
        <v>0.4</v>
      </c>
      <c r="D34" s="243">
        <v>0.4</v>
      </c>
      <c r="E34" s="243">
        <v>0.2</v>
      </c>
      <c r="F34" s="244"/>
      <c r="G34" s="243">
        <v>0.2</v>
      </c>
      <c r="H34" s="244"/>
      <c r="I34" s="244"/>
      <c r="J34" s="245">
        <v>1</v>
      </c>
      <c r="K34" s="246">
        <f>$B$34*C34</f>
        <v>0.004</v>
      </c>
      <c r="L34" s="246">
        <f>$B$34*D34</f>
        <v>0.004</v>
      </c>
      <c r="M34" s="246">
        <f>$B$34*G34</f>
        <v>0.002</v>
      </c>
      <c r="N34" s="246">
        <f>$B$34*H34</f>
        <v>0</v>
      </c>
      <c r="O34" s="246">
        <f>$B$34*I34</f>
        <v>0</v>
      </c>
      <c r="P34" s="246">
        <v>0.8</v>
      </c>
    </row>
    <row r="35" spans="1:16">
      <c r="A35" s="120" t="s">
        <v>96</v>
      </c>
      <c r="B35" s="241">
        <f>C28</f>
        <v>0.789</v>
      </c>
      <c r="C35" s="242">
        <v>0.1</v>
      </c>
      <c r="D35" s="243">
        <v>0.6</v>
      </c>
      <c r="E35" s="243">
        <v>0.2</v>
      </c>
      <c r="F35" s="244">
        <v>0.1</v>
      </c>
      <c r="G35" s="243">
        <v>0.2</v>
      </c>
      <c r="H35" s="244">
        <v>0.1</v>
      </c>
      <c r="I35" s="244"/>
      <c r="J35" s="245">
        <v>1</v>
      </c>
      <c r="K35" s="246">
        <f>$B$35*C35</f>
        <v>0.0789</v>
      </c>
      <c r="L35" s="246">
        <f>$B$35*D35</f>
        <v>0.4734</v>
      </c>
      <c r="M35" s="246">
        <f>$B$35*G35</f>
        <v>0.1578</v>
      </c>
      <c r="N35" s="246">
        <f>$B$35*H35</f>
        <v>0.0789</v>
      </c>
      <c r="O35" s="246">
        <f>$B$35*I35</f>
        <v>0</v>
      </c>
      <c r="P35" s="246">
        <v>0.2</v>
      </c>
    </row>
    <row r="36" spans="1:16">
      <c r="A36" s="120" t="s">
        <v>98</v>
      </c>
      <c r="B36" s="241">
        <f>D28</f>
        <v>0.072</v>
      </c>
      <c r="C36" s="242"/>
      <c r="D36" s="243">
        <v>0.55</v>
      </c>
      <c r="E36" s="243">
        <v>0.3</v>
      </c>
      <c r="F36" s="244">
        <v>0.15</v>
      </c>
      <c r="G36" s="243">
        <v>0.3</v>
      </c>
      <c r="H36" s="244">
        <v>0.15</v>
      </c>
      <c r="I36" s="244"/>
      <c r="J36" s="245">
        <v>1</v>
      </c>
      <c r="K36" s="246">
        <f>$B$36*C36</f>
        <v>0</v>
      </c>
      <c r="L36" s="246">
        <f>$B$36*D36</f>
        <v>0.0396</v>
      </c>
      <c r="M36" s="246">
        <f>$B$36*G36</f>
        <v>0.0216</v>
      </c>
      <c r="N36" s="246">
        <f>$B$36*H36</f>
        <v>0.0108</v>
      </c>
      <c r="O36" s="246">
        <f>$B$36*I36</f>
        <v>0</v>
      </c>
      <c r="P36" s="246">
        <v>0</v>
      </c>
    </row>
    <row r="37" spans="1:16">
      <c r="A37" s="120" t="s">
        <v>99</v>
      </c>
      <c r="B37" s="241">
        <f>G28</f>
        <v>0</v>
      </c>
      <c r="C37" s="242"/>
      <c r="D37" s="243">
        <v>0.3</v>
      </c>
      <c r="E37" s="243">
        <v>0.5</v>
      </c>
      <c r="F37" s="244">
        <v>0.2</v>
      </c>
      <c r="G37" s="243">
        <v>0.5</v>
      </c>
      <c r="H37" s="244">
        <v>0.2</v>
      </c>
      <c r="I37" s="244"/>
      <c r="J37" s="245">
        <v>1</v>
      </c>
      <c r="K37" s="246">
        <f>$B$37*C37</f>
        <v>0</v>
      </c>
      <c r="L37" s="246">
        <f>$B$37*D37</f>
        <v>0</v>
      </c>
      <c r="M37" s="246">
        <f>$B$37*G37</f>
        <v>0</v>
      </c>
      <c r="N37" s="246">
        <f>$B$37*H37</f>
        <v>0</v>
      </c>
      <c r="O37" s="246">
        <f>$B$37*I37</f>
        <v>0</v>
      </c>
      <c r="P37" s="246">
        <v>0</v>
      </c>
    </row>
    <row r="38" spans="1:16">
      <c r="A38" s="120" t="s">
        <v>97</v>
      </c>
      <c r="B38" s="241">
        <f>H28</f>
        <v>0.138</v>
      </c>
      <c r="C38" s="242">
        <v>0.3</v>
      </c>
      <c r="D38" s="243"/>
      <c r="E38" s="243"/>
      <c r="F38" s="244"/>
      <c r="G38" s="243"/>
      <c r="H38" s="244"/>
      <c r="I38" s="244">
        <v>0.7</v>
      </c>
      <c r="J38" s="245">
        <v>1</v>
      </c>
      <c r="K38" s="246">
        <f>$B$38*C38</f>
        <v>0.0414</v>
      </c>
      <c r="L38" s="246">
        <f>$B$38*D38</f>
        <v>0</v>
      </c>
      <c r="M38" s="246">
        <f>$B$38*G38</f>
        <v>0</v>
      </c>
      <c r="N38" s="246">
        <f>$B$38*H38</f>
        <v>0</v>
      </c>
      <c r="O38" s="246">
        <f>$B$38*I38</f>
        <v>0.0966</v>
      </c>
      <c r="P38" s="246">
        <v>0</v>
      </c>
    </row>
    <row r="39" spans="1:16">
      <c r="A39" s="120" t="s">
        <v>329</v>
      </c>
      <c r="B39" s="241">
        <f>I28</f>
        <v>0</v>
      </c>
      <c r="C39" s="242"/>
      <c r="D39" s="243"/>
      <c r="E39" s="243"/>
      <c r="F39" s="244"/>
      <c r="G39" s="243"/>
      <c r="H39" s="244"/>
      <c r="I39" s="244">
        <v>1</v>
      </c>
      <c r="J39" s="245">
        <v>1</v>
      </c>
      <c r="K39" s="246">
        <f>$B$39*C39</f>
        <v>0</v>
      </c>
      <c r="L39" s="246">
        <f>$B$39*D39</f>
        <v>0</v>
      </c>
      <c r="M39" s="246">
        <f>$B$39*G39</f>
        <v>0</v>
      </c>
      <c r="N39" s="246">
        <f>$B$39*H39</f>
        <v>0</v>
      </c>
      <c r="O39" s="246">
        <f>$B$39*I39</f>
        <v>0</v>
      </c>
      <c r="P39" s="246">
        <v>0</v>
      </c>
    </row>
    <row r="40" spans="1:16">
      <c r="A40" s="120" t="s">
        <v>173</v>
      </c>
      <c r="B40" s="241">
        <v>1</v>
      </c>
      <c r="C40" s="242"/>
      <c r="D40" s="243"/>
      <c r="E40" s="243"/>
      <c r="F40" s="244"/>
      <c r="G40" s="243"/>
      <c r="H40" s="244"/>
      <c r="I40" s="244"/>
      <c r="J40" s="245"/>
      <c r="K40" s="246">
        <f t="shared" ref="K40:P40" si="20">SUM(K34:K39)</f>
        <v>0.1243</v>
      </c>
      <c r="L40" s="246">
        <f t="shared" si="20"/>
        <v>0.517</v>
      </c>
      <c r="M40" s="246">
        <f t="shared" si="20"/>
        <v>0.1814</v>
      </c>
      <c r="N40" s="246">
        <f t="shared" si="20"/>
        <v>0.0897</v>
      </c>
      <c r="O40" s="246">
        <f t="shared" si="20"/>
        <v>0.0966</v>
      </c>
      <c r="P40" s="246">
        <f t="shared" si="20"/>
        <v>1</v>
      </c>
    </row>
    <row r="43" spans="1:16">
      <c r="C43" s="235" t="s">
        <v>346</v>
      </c>
      <c r="D43" s="236"/>
      <c r="E43" s="236"/>
      <c r="F43" s="236"/>
      <c r="G43" s="236"/>
      <c r="H43" s="236"/>
      <c r="I43" s="236"/>
      <c r="J43" s="236"/>
    </row>
    <row r="44" spans="1:16">
      <c r="C44" s="235" t="s">
        <v>341</v>
      </c>
      <c r="D44" s="235" t="s">
        <v>342</v>
      </c>
      <c r="E44" s="235" t="s">
        <v>343</v>
      </c>
      <c r="F44" s="235" t="s">
        <v>345</v>
      </c>
      <c r="G44" s="235" t="s">
        <v>343</v>
      </c>
      <c r="H44" s="235" t="s">
        <v>347</v>
      </c>
      <c r="I44" s="235" t="s">
        <v>344</v>
      </c>
      <c r="J44" s="235" t="s">
        <v>173</v>
      </c>
    </row>
    <row r="45" spans="1:16">
      <c r="C45" s="246">
        <f>K40</f>
        <v>0.1243</v>
      </c>
      <c r="D45" s="246">
        <f>L40</f>
        <v>0.517</v>
      </c>
      <c r="E45" s="246">
        <f t="shared" ref="E45:I45" si="21">K40</f>
        <v>0.1243</v>
      </c>
      <c r="F45" s="246">
        <f t="shared" si="21"/>
        <v>0.517</v>
      </c>
      <c r="G45" s="246">
        <f t="shared" si="21"/>
        <v>0.1814</v>
      </c>
      <c r="H45" s="246">
        <f t="shared" si="21"/>
        <v>0.0897</v>
      </c>
      <c r="I45" s="246">
        <f t="shared" si="21"/>
        <v>0.0966</v>
      </c>
      <c r="J45" s="246">
        <f t="shared" ref="J45:J47" si="22">SUM(C45:I45)</f>
        <v>1.6503</v>
      </c>
    </row>
    <row r="46" spans="1:16">
      <c r="C46" s="247">
        <v>17.02</v>
      </c>
      <c r="D46" s="247">
        <v>17.02</v>
      </c>
      <c r="E46" s="247">
        <v>23.85</v>
      </c>
      <c r="F46" s="193">
        <v>125.26</v>
      </c>
      <c r="G46" s="247">
        <v>23.85</v>
      </c>
      <c r="H46" s="193">
        <v>125.26</v>
      </c>
      <c r="I46" s="247">
        <v>194.53</v>
      </c>
      <c r="J46" s="247">
        <f t="shared" si="22"/>
        <v>526.79</v>
      </c>
    </row>
    <row r="47" spans="1:16">
      <c r="C47" s="248">
        <v>1</v>
      </c>
      <c r="D47" s="248">
        <v>1</v>
      </c>
      <c r="E47" s="248" t="e">
        <f>E46/B46</f>
        <v>#DIV/0!</v>
      </c>
      <c r="F47" s="248" t="e">
        <f>F46/B46</f>
        <v>#DIV/0!</v>
      </c>
      <c r="G47" s="248">
        <f>G46/D46</f>
        <v>1.40129259694477</v>
      </c>
      <c r="H47" s="248">
        <f>H46/D46</f>
        <v>7.35957696827262</v>
      </c>
      <c r="I47" s="248">
        <f>I46/D46</f>
        <v>11.4294947121034</v>
      </c>
      <c r="J47" s="249" t="e">
        <f t="shared" si="22"/>
        <v>#DIV/0!</v>
      </c>
    </row>
    <row r="48" spans="1:16">
      <c r="C48" s="247"/>
      <c r="D48" s="247"/>
      <c r="E48" s="247"/>
      <c r="F48" s="247"/>
      <c r="G48" s="247"/>
      <c r="H48" s="247"/>
      <c r="I48" s="247"/>
      <c r="J48" s="247"/>
    </row>
    <row r="49" spans="2:10">
      <c r="C49" s="247"/>
      <c r="D49" s="247"/>
      <c r="E49" s="247"/>
      <c r="F49" s="247"/>
      <c r="G49" s="247"/>
      <c r="H49" s="247"/>
      <c r="I49" s="247"/>
      <c r="J49" s="247"/>
    </row>
    <row r="50" spans="2:10">
      <c r="C50" s="247"/>
      <c r="D50" s="247"/>
      <c r="E50" s="247"/>
      <c r="F50" s="247"/>
      <c r="G50" s="247"/>
      <c r="H50" s="247"/>
      <c r="I50" s="247"/>
      <c r="J50" s="247"/>
    </row>
    <row r="51" spans="2:10">
      <c r="C51" s="250">
        <f t="shared" ref="C51:I51" si="23">C45*C47</f>
        <v>0.1243</v>
      </c>
      <c r="D51" s="250">
        <f t="shared" si="23"/>
        <v>0.517</v>
      </c>
      <c r="E51" s="250" t="e">
        <f t="shared" si="23"/>
        <v>#DIV/0!</v>
      </c>
      <c r="F51" s="250" t="e">
        <f t="shared" si="23"/>
        <v>#DIV/0!</v>
      </c>
      <c r="G51" s="250">
        <f t="shared" si="23"/>
        <v>0.254194477085781</v>
      </c>
      <c r="H51" s="250">
        <f t="shared" si="23"/>
        <v>0.660154054054054</v>
      </c>
      <c r="I51" s="250">
        <f t="shared" si="23"/>
        <v>1.10408918918919</v>
      </c>
      <c r="J51" s="250" t="e">
        <f>SUM(C51:I51)</f>
        <v>#DIV/0!</v>
      </c>
    </row>
    <row r="53" spans="2:10">
      <c r="B53" s="193"/>
      <c r="C53" s="193"/>
      <c r="D53" s="193"/>
      <c r="E53" s="193"/>
      <c r="F53" s="193"/>
      <c r="G53" s="193"/>
      <c r="H53" s="193"/>
      <c r="I53" s="193"/>
      <c r="J53" s="193"/>
    </row>
    <row r="54" spans="2:10">
      <c r="B54" s="193"/>
      <c r="C54" s="251"/>
      <c r="D54" s="251"/>
      <c r="E54" s="251"/>
      <c r="F54" s="251"/>
      <c r="G54" s="251"/>
      <c r="H54" s="251"/>
      <c r="I54" s="251"/>
    </row>
    <row r="55" spans="2:10">
      <c r="B55" s="193"/>
    </row>
    <row r="71" spans="9:9">
      <c r="I71" s="252"/>
    </row>
    <row r="72" spans="9:9">
      <c r="I72" s="193"/>
    </row>
    <row r="73" spans="9:9">
      <c r="I73" s="193"/>
    </row>
    <row r="74" spans="9:9">
      <c r="I74" s="193"/>
    </row>
    <row r="75" spans="9:9">
      <c r="I75" s="252"/>
    </row>
  </sheetData>
  <mergeCells count="27">
    <mergeCell ref="C1:D1"/>
    <mergeCell ref="E1:F1"/>
    <mergeCell ref="G1:H1"/>
    <mergeCell ref="I1:J1"/>
    <mergeCell ref="K1:L1"/>
    <mergeCell ref="M1:N1"/>
    <mergeCell ref="O1:P1"/>
    <mergeCell ref="A12:S12"/>
    <mergeCell ref="B13:D13"/>
    <mergeCell ref="G13:J13"/>
    <mergeCell ref="K13:N13"/>
    <mergeCell ref="O13:R13"/>
    <mergeCell ref="A21:C21"/>
    <mergeCell ref="A22:C22"/>
    <mergeCell ref="A24:L24"/>
    <mergeCell ref="C32:J32"/>
    <mergeCell ref="K32:P32"/>
    <mergeCell ref="C43:J43"/>
    <mergeCell ref="A1:A2"/>
    <mergeCell ref="A13:A14"/>
    <mergeCell ref="A19:A20"/>
    <mergeCell ref="A32:A33"/>
    <mergeCell ref="B1:B2"/>
    <mergeCell ref="B32:B33"/>
    <mergeCell ref="J25:J28"/>
    <mergeCell ref="K25:K28"/>
    <mergeCell ref="L25:L28"/>
  </mergeCells>
  <pageMargins left="0.75" right="0.75" top="1" bottom="1" header="0.511805555555556" footer="0.511805555555556"/>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00B0F0"/>
  </sheetPr>
  <dimension ref="A1:J32"/>
  <sheetViews>
    <sheetView view="pageBreakPreview" zoomScale="145" zoomScaleNormal="100" workbookViewId="0">
      <selection activeCell="G8" sqref="G8"/>
    </sheetView>
  </sheetViews>
  <sheetFormatPr defaultColWidth="9" defaultRowHeight="11.25"/>
  <cols>
    <col min="1" max="1" width="4.75833333333333" style="94" customWidth="1"/>
    <col min="2" max="2" width="9.25833333333333" style="94" customWidth="1"/>
    <col min="3" max="3" width="14.2583333333333" style="93" customWidth="1"/>
    <col min="4" max="4" width="30.625" style="93" customWidth="1"/>
    <col min="5" max="5" width="5.25833333333333" style="93" customWidth="1"/>
    <col min="6" max="6" width="9.5" style="93" customWidth="1"/>
    <col min="7" max="7" width="12.375" style="26" customWidth="1"/>
    <col min="8" max="8" width="11" style="26" customWidth="1"/>
    <col min="9" max="9" width="22.7583333333333" style="26" customWidth="1"/>
    <col min="10" max="16384" width="9" style="93"/>
  </cols>
  <sheetData>
    <row r="1" ht="27" customHeight="1" spans="1:10">
      <c r="A1" s="145" t="str">
        <f>'基础分包测算成本对比 '!A1</f>
        <v>***110kV线路工程</v>
      </c>
      <c r="B1" s="145"/>
      <c r="C1" s="145"/>
      <c r="D1" s="145"/>
      <c r="E1" s="145"/>
      <c r="F1" s="145"/>
      <c r="G1" s="146" t="s">
        <v>348</v>
      </c>
      <c r="H1" s="146"/>
      <c r="I1" s="146"/>
    </row>
    <row r="2" ht="15" customHeight="1" spans="1:10">
      <c r="A2" s="24" t="s">
        <v>349</v>
      </c>
      <c r="B2" s="24"/>
      <c r="C2" s="24"/>
      <c r="D2" s="24"/>
      <c r="E2" s="24"/>
      <c r="F2" s="24"/>
      <c r="G2" s="24"/>
      <c r="H2" s="24"/>
      <c r="I2" s="26" t="s">
        <v>119</v>
      </c>
    </row>
    <row r="3" s="89" customFormat="1" ht="14.45" customHeight="1" spans="1:10">
      <c r="A3" s="99" t="s">
        <v>8</v>
      </c>
      <c r="B3" s="99" t="s">
        <v>227</v>
      </c>
      <c r="C3" s="99" t="s">
        <v>228</v>
      </c>
      <c r="D3" s="99"/>
      <c r="E3" s="100" t="s">
        <v>350</v>
      </c>
      <c r="F3" s="102"/>
      <c r="G3" s="102"/>
      <c r="H3" s="103"/>
      <c r="I3" s="104" t="s">
        <v>13</v>
      </c>
    </row>
    <row r="4" s="89" customFormat="1" ht="27" customHeight="1" spans="1:10">
      <c r="A4" s="99"/>
      <c r="B4" s="99"/>
      <c r="C4" s="99"/>
      <c r="D4" s="99"/>
      <c r="E4" s="99" t="s">
        <v>351</v>
      </c>
      <c r="F4" s="99" t="s">
        <v>352</v>
      </c>
      <c r="G4" s="147" t="s">
        <v>353</v>
      </c>
      <c r="H4" s="107" t="s">
        <v>232</v>
      </c>
      <c r="I4" s="104"/>
    </row>
    <row r="5" ht="18.75" customHeight="1" spans="1:10">
      <c r="A5" s="108" t="s">
        <v>354</v>
      </c>
      <c r="B5" s="108" t="s">
        <v>355</v>
      </c>
      <c r="C5" s="108" t="s">
        <v>234</v>
      </c>
      <c r="D5" s="108" t="s">
        <v>235</v>
      </c>
      <c r="E5" s="108"/>
      <c r="F5" s="148"/>
      <c r="G5" s="110"/>
      <c r="H5" s="110"/>
      <c r="I5" s="149"/>
    </row>
    <row r="6" ht="48" customHeight="1" spans="1:10">
      <c r="A6" s="108">
        <v>1</v>
      </c>
      <c r="B6" s="150"/>
      <c r="C6" s="108" t="s">
        <v>356</v>
      </c>
      <c r="D6" s="113" t="s">
        <v>357</v>
      </c>
      <c r="E6" s="108" t="s">
        <v>182</v>
      </c>
      <c r="F6" s="151">
        <v>109.798</v>
      </c>
      <c r="G6" s="152">
        <v>2183</v>
      </c>
      <c r="H6" s="153">
        <f>G6*F6</f>
        <v>239689.034</v>
      </c>
      <c r="I6" s="154" t="s">
        <v>358</v>
      </c>
    </row>
    <row r="7" s="143" customFormat="1" ht="48" customHeight="1" spans="1:10">
      <c r="A7" s="108"/>
      <c r="B7" s="155"/>
      <c r="C7" s="108"/>
      <c r="D7" s="113"/>
      <c r="E7" s="108"/>
      <c r="F7" s="151"/>
      <c r="G7" s="152"/>
      <c r="H7" s="153"/>
      <c r="I7" s="156"/>
      <c r="J7" s="157"/>
    </row>
    <row r="8" s="144" customFormat="1" ht="48" customHeight="1" spans="1:10">
      <c r="A8" s="108"/>
      <c r="B8" s="158"/>
      <c r="C8" s="108" t="s">
        <v>359</v>
      </c>
      <c r="D8" s="113"/>
      <c r="E8" s="108" t="s">
        <v>360</v>
      </c>
      <c r="F8" s="151">
        <v>0</v>
      </c>
      <c r="G8" s="152">
        <v>14559</v>
      </c>
      <c r="H8" s="153">
        <f>G8*F8</f>
        <v>0</v>
      </c>
      <c r="I8" s="159"/>
      <c r="J8" s="160"/>
    </row>
    <row r="9" s="91" customFormat="1" ht="16.15" customHeight="1" spans="1:10">
      <c r="A9" s="108"/>
      <c r="B9" s="108"/>
      <c r="C9" s="161" t="s">
        <v>232</v>
      </c>
      <c r="D9" s="162"/>
      <c r="E9" s="163"/>
      <c r="F9" s="152" t="s">
        <v>272</v>
      </c>
      <c r="G9" s="152" t="s">
        <v>272</v>
      </c>
      <c r="H9" s="152">
        <f>SUM(H6:H8)</f>
        <v>239689.034</v>
      </c>
      <c r="I9" s="129"/>
    </row>
    <row r="10" s="91" customFormat="1" ht="13.5" spans="1:10">
      <c r="A10" s="164"/>
      <c r="B10" s="165"/>
      <c r="C10" s="126" t="s">
        <v>361</v>
      </c>
      <c r="D10" s="127"/>
      <c r="E10" s="127"/>
      <c r="F10" s="127"/>
      <c r="G10" s="127"/>
      <c r="H10" s="127"/>
      <c r="I10" s="129"/>
    </row>
    <row r="11" s="92" customFormat="1" ht="14" customHeight="1" spans="1:10">
      <c r="A11" s="124"/>
      <c r="B11" s="125"/>
      <c r="C11" s="121" t="s">
        <v>362</v>
      </c>
      <c r="D11" s="130"/>
      <c r="E11" s="130"/>
      <c r="F11" s="130"/>
      <c r="G11" s="130"/>
      <c r="H11" s="130"/>
      <c r="I11" s="130"/>
    </row>
    <row r="12" s="92" customFormat="1" ht="24" customHeight="1" spans="1:10">
      <c r="A12" s="124"/>
      <c r="B12" s="125"/>
      <c r="C12" s="121" t="s">
        <v>363</v>
      </c>
      <c r="D12" s="130"/>
      <c r="E12" s="132"/>
      <c r="F12" s="130"/>
      <c r="G12" s="130"/>
      <c r="H12" s="130"/>
      <c r="I12" s="130"/>
    </row>
    <row r="13" s="92" customFormat="1" ht="39" customHeight="1" spans="1:10">
      <c r="A13" s="124"/>
      <c r="B13" s="125"/>
      <c r="C13" s="121" t="s">
        <v>364</v>
      </c>
      <c r="D13" s="133"/>
      <c r="E13" s="133"/>
      <c r="F13" s="133"/>
      <c r="G13" s="133"/>
      <c r="H13" s="133"/>
      <c r="I13" s="133"/>
    </row>
    <row r="14" s="92" customFormat="1" ht="28" customHeight="1" spans="1:10">
      <c r="A14" s="124"/>
      <c r="B14" s="125"/>
      <c r="C14" s="121" t="s">
        <v>365</v>
      </c>
      <c r="D14" s="133"/>
      <c r="E14" s="135"/>
      <c r="F14" s="133"/>
      <c r="G14" s="133"/>
      <c r="H14" s="133"/>
      <c r="I14" s="133"/>
    </row>
    <row r="15" s="92" customFormat="1" ht="16.05" customHeight="1" spans="1:10">
      <c r="A15" s="136"/>
      <c r="B15" s="137"/>
      <c r="C15" s="121" t="s">
        <v>366</v>
      </c>
      <c r="D15" s="133"/>
      <c r="E15" s="135"/>
      <c r="F15" s="133"/>
      <c r="G15" s="133"/>
      <c r="H15" s="133"/>
      <c r="I15" s="133"/>
    </row>
    <row r="16" s="92" customFormat="1" ht="24" customHeight="1" spans="1:10">
      <c r="A16" s="138"/>
      <c r="B16" s="166" t="s">
        <v>281</v>
      </c>
      <c r="D16" s="167" t="s">
        <v>367</v>
      </c>
    </row>
    <row r="17" s="92" customFormat="1" ht="22" customHeight="1" spans="1:9">
      <c r="A17" s="138"/>
      <c r="B17" s="1" t="s">
        <v>283</v>
      </c>
    </row>
    <row r="18" s="93" customFormat="1" ht="25.05" customHeight="1" spans="1:9">
      <c r="A18" s="138"/>
      <c r="B18" s="1" t="s">
        <v>284</v>
      </c>
      <c r="C18" s="92"/>
      <c r="D18" s="92"/>
      <c r="E18" s="92"/>
      <c r="F18" s="92"/>
      <c r="G18" s="92"/>
      <c r="H18" s="92"/>
      <c r="I18" s="92"/>
    </row>
    <row r="19" s="93" customFormat="1" ht="13.5" spans="1:9">
      <c r="A19" s="138"/>
      <c r="B19" s="92" t="s">
        <v>285</v>
      </c>
      <c r="C19" s="92"/>
      <c r="D19" s="92"/>
      <c r="E19" s="92"/>
      <c r="F19" s="92"/>
      <c r="G19" s="92"/>
      <c r="H19" s="92"/>
      <c r="I19" s="92"/>
    </row>
    <row r="22" ht="13.5" spans="1:9">
      <c r="C22" s="142"/>
    </row>
    <row r="32" spans="1:9">
      <c r="C32" s="93">
        <f>21022575</f>
        <v>21022575</v>
      </c>
    </row>
  </sheetData>
  <mergeCells count="24">
    <mergeCell ref="A1:F1"/>
    <mergeCell ref="G1:I1"/>
    <mergeCell ref="E3:H3"/>
    <mergeCell ref="C9:E9"/>
    <mergeCell ref="C10:H10"/>
    <mergeCell ref="C11:I11"/>
    <mergeCell ref="C12:I12"/>
    <mergeCell ref="C13:I13"/>
    <mergeCell ref="C14:I14"/>
    <mergeCell ref="C15:I15"/>
    <mergeCell ref="A3:A4"/>
    <mergeCell ref="A6:A8"/>
    <mergeCell ref="B3:B4"/>
    <mergeCell ref="B6:B8"/>
    <mergeCell ref="C6:C7"/>
    <mergeCell ref="D6:D8"/>
    <mergeCell ref="E6:E7"/>
    <mergeCell ref="F6:F7"/>
    <mergeCell ref="G6:G7"/>
    <mergeCell ref="H6:H7"/>
    <mergeCell ref="I3:I4"/>
    <mergeCell ref="I6:I8"/>
    <mergeCell ref="C3:D4"/>
    <mergeCell ref="A11:B15"/>
  </mergeCells>
  <printOptions horizontalCentered="1"/>
  <pageMargins left="0.747916666666667" right="0.747916666666667" top="0.984027777777778" bottom="0.984027777777778" header="0" footer="0"/>
  <pageSetup paperSize="9" scale="91" orientation="landscape" useFirstPageNumber="1"/>
  <headerFooter/>
  <rowBreaks count="1" manualBreakCount="1">
    <brk id="20" max="16383" man="1"/>
  </row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rgb="FF00B0F0"/>
    <pageSetUpPr fitToPage="1"/>
  </sheetPr>
  <dimension ref="A1:I33"/>
  <sheetViews>
    <sheetView view="pageBreakPreview" zoomScale="115" zoomScaleNormal="100" workbookViewId="0">
      <selection activeCell="G11" sqref="G11"/>
    </sheetView>
  </sheetViews>
  <sheetFormatPr defaultColWidth="9" defaultRowHeight="11.25"/>
  <cols>
    <col min="1" max="1" width="4.75833333333333" style="94" customWidth="1"/>
    <col min="2" max="2" width="8.25833333333333" style="94" customWidth="1"/>
    <col min="3" max="3" width="36.375" style="93" customWidth="1"/>
    <col min="4" max="4" width="27.375" style="93" customWidth="1"/>
    <col min="5" max="5" width="7.81666666666667" style="94" customWidth="1"/>
    <col min="6" max="6" width="7.5" style="95" customWidth="1"/>
    <col min="7" max="7" width="10.875" style="26" customWidth="1"/>
    <col min="8" max="8" width="12.125" style="26" customWidth="1"/>
    <col min="9" max="9" width="35.375" style="26" customWidth="1"/>
    <col min="10" max="16384" width="9" style="93"/>
  </cols>
  <sheetData>
    <row r="1" ht="27" customHeight="1" spans="1:9">
      <c r="A1" s="50" t="str">
        <f>'基础分包测算成本对比 '!A1</f>
        <v>***110kV线路工程</v>
      </c>
      <c r="B1" s="50"/>
      <c r="C1" s="50"/>
      <c r="D1" s="50"/>
      <c r="E1" s="96" t="s">
        <v>368</v>
      </c>
      <c r="F1" s="97"/>
      <c r="G1" s="96"/>
      <c r="H1" s="96"/>
      <c r="I1" s="96"/>
    </row>
    <row r="2" ht="15" customHeight="1" spans="1:9">
      <c r="A2" s="24" t="s">
        <v>369</v>
      </c>
      <c r="B2" s="24"/>
      <c r="C2" s="24"/>
      <c r="D2" s="24"/>
      <c r="E2" s="25"/>
      <c r="F2" s="98"/>
      <c r="G2" s="24"/>
      <c r="H2" s="24"/>
      <c r="I2" s="26" t="s">
        <v>119</v>
      </c>
    </row>
    <row r="3" s="89" customFormat="1" ht="14.45" customHeight="1" spans="1:9">
      <c r="A3" s="99" t="s">
        <v>8</v>
      </c>
      <c r="B3" s="99" t="s">
        <v>227</v>
      </c>
      <c r="C3" s="99" t="s">
        <v>228</v>
      </c>
      <c r="D3" s="99"/>
      <c r="E3" s="100" t="s">
        <v>350</v>
      </c>
      <c r="F3" s="101"/>
      <c r="G3" s="102"/>
      <c r="H3" s="103"/>
      <c r="I3" s="104" t="s">
        <v>13</v>
      </c>
    </row>
    <row r="4" s="89" customFormat="1" ht="27" customHeight="1" spans="1:9">
      <c r="A4" s="99"/>
      <c r="B4" s="99"/>
      <c r="C4" s="99"/>
      <c r="D4" s="99"/>
      <c r="E4" s="99" t="s">
        <v>351</v>
      </c>
      <c r="F4" s="105" t="s">
        <v>352</v>
      </c>
      <c r="G4" s="106" t="s">
        <v>353</v>
      </c>
      <c r="H4" s="107" t="s">
        <v>232</v>
      </c>
      <c r="I4" s="104"/>
    </row>
    <row r="5" ht="18.75" customHeight="1" spans="1:9">
      <c r="A5" s="108" t="s">
        <v>354</v>
      </c>
      <c r="B5" s="108" t="s">
        <v>370</v>
      </c>
      <c r="C5" s="108" t="s">
        <v>234</v>
      </c>
      <c r="D5" s="108" t="s">
        <v>235</v>
      </c>
      <c r="E5" s="108"/>
      <c r="F5" s="109"/>
      <c r="G5" s="110"/>
      <c r="H5" s="110"/>
      <c r="I5" s="111"/>
    </row>
    <row r="6" ht="79" customHeight="1" spans="1:9">
      <c r="A6" s="112">
        <v>1</v>
      </c>
      <c r="B6" s="112" t="s">
        <v>371</v>
      </c>
      <c r="C6" s="113" t="s">
        <v>372</v>
      </c>
      <c r="D6" s="112" t="s">
        <v>373</v>
      </c>
      <c r="E6" s="114" t="s">
        <v>374</v>
      </c>
      <c r="F6" s="115">
        <v>3.08</v>
      </c>
      <c r="G6" s="114">
        <f>31760*1.2</f>
        <v>38112</v>
      </c>
      <c r="H6" s="114">
        <f>G6*F6</f>
        <v>117384.96</v>
      </c>
      <c r="I6" s="116" t="s">
        <v>375</v>
      </c>
    </row>
    <row r="7" s="90" customFormat="1" ht="48" spans="1:9">
      <c r="A7" s="117"/>
      <c r="B7" s="117"/>
      <c r="C7" s="113" t="s">
        <v>376</v>
      </c>
      <c r="D7" s="118"/>
      <c r="E7" s="114" t="s">
        <v>374</v>
      </c>
      <c r="F7" s="115">
        <v>0.681</v>
      </c>
      <c r="G7" s="114">
        <f>G6*0.2</f>
        <v>7622.4</v>
      </c>
      <c r="H7" s="114">
        <f>G7*F7</f>
        <v>5190.8544</v>
      </c>
      <c r="I7" s="119"/>
    </row>
    <row r="8" s="90" customFormat="1" ht="29" customHeight="1" spans="1:9">
      <c r="A8" s="108">
        <v>2</v>
      </c>
      <c r="B8" s="108" t="s">
        <v>377</v>
      </c>
      <c r="C8" s="120" t="s">
        <v>378</v>
      </c>
      <c r="D8" s="108" t="s">
        <v>379</v>
      </c>
      <c r="E8" s="114" t="s">
        <v>360</v>
      </c>
      <c r="F8" s="115">
        <v>0</v>
      </c>
      <c r="G8" s="114">
        <v>0</v>
      </c>
      <c r="H8" s="114">
        <f>G8*F8</f>
        <v>0</v>
      </c>
      <c r="I8" s="119"/>
    </row>
    <row r="9" s="90" customFormat="1" ht="28" customHeight="1" spans="1:9">
      <c r="A9" s="108"/>
      <c r="B9" s="108"/>
      <c r="C9" s="120" t="s">
        <v>380</v>
      </c>
      <c r="D9" s="108"/>
      <c r="E9" s="114" t="s">
        <v>360</v>
      </c>
      <c r="F9" s="115">
        <v>8</v>
      </c>
      <c r="G9" s="114">
        <v>10042</v>
      </c>
      <c r="H9" s="114">
        <f>G9*F9</f>
        <v>80336</v>
      </c>
      <c r="I9" s="119"/>
    </row>
    <row r="10" s="90" customFormat="1" ht="61" customHeight="1" spans="1:9">
      <c r="A10" s="108">
        <v>3</v>
      </c>
      <c r="B10" s="108" t="s">
        <v>381</v>
      </c>
      <c r="C10" s="120" t="s">
        <v>382</v>
      </c>
      <c r="D10" s="121" t="s">
        <v>383</v>
      </c>
      <c r="E10" s="114" t="s">
        <v>259</v>
      </c>
      <c r="F10" s="115">
        <v>1</v>
      </c>
      <c r="G10" s="114">
        <f>7063</f>
        <v>7063</v>
      </c>
      <c r="H10" s="114">
        <f>G10*F10</f>
        <v>7063</v>
      </c>
      <c r="I10" s="122" t="s">
        <v>384</v>
      </c>
    </row>
    <row r="11" s="90" customFormat="1" ht="24" customHeight="1" spans="1:9">
      <c r="A11" s="120" t="s">
        <v>173</v>
      </c>
      <c r="B11" s="120"/>
      <c r="C11" s="120"/>
      <c r="D11" s="120"/>
      <c r="E11" s="114"/>
      <c r="F11" s="115"/>
      <c r="G11" s="114" t="s">
        <v>272</v>
      </c>
      <c r="H11" s="114">
        <f>SUM(H6:H10)</f>
        <v>209974.8144</v>
      </c>
      <c r="I11" s="123"/>
    </row>
    <row r="12" s="91" customFormat="1" ht="19" customHeight="1" spans="1:9">
      <c r="A12" s="124" t="s">
        <v>274</v>
      </c>
      <c r="B12" s="125"/>
      <c r="C12" s="126" t="s">
        <v>361</v>
      </c>
      <c r="D12" s="127"/>
      <c r="E12" s="127"/>
      <c r="F12" s="128"/>
      <c r="G12" s="127"/>
      <c r="H12" s="127"/>
      <c r="I12" s="129"/>
    </row>
    <row r="13" s="92" customFormat="1" ht="19" customHeight="1" spans="1:9">
      <c r="A13" s="124"/>
      <c r="B13" s="125"/>
      <c r="C13" s="130" t="s">
        <v>385</v>
      </c>
      <c r="D13" s="130"/>
      <c r="E13" s="130"/>
      <c r="F13" s="131"/>
      <c r="G13" s="130"/>
      <c r="H13" s="130"/>
      <c r="I13" s="130"/>
    </row>
    <row r="14" s="92" customFormat="1" ht="24" customHeight="1" spans="1:9">
      <c r="A14" s="124"/>
      <c r="B14" s="125"/>
      <c r="C14" s="130" t="s">
        <v>386</v>
      </c>
      <c r="D14" s="130"/>
      <c r="E14" s="132"/>
      <c r="F14" s="131"/>
      <c r="G14" s="130"/>
      <c r="H14" s="130"/>
      <c r="I14" s="130"/>
    </row>
    <row r="15" s="92" customFormat="1" ht="30" customHeight="1" spans="1:9">
      <c r="A15" s="124"/>
      <c r="B15" s="125"/>
      <c r="C15" s="133" t="s">
        <v>387</v>
      </c>
      <c r="D15" s="133"/>
      <c r="E15" s="133"/>
      <c r="F15" s="134"/>
      <c r="G15" s="133"/>
      <c r="H15" s="133"/>
      <c r="I15" s="133"/>
    </row>
    <row r="16" s="92" customFormat="1" ht="26" customHeight="1" spans="1:9">
      <c r="A16" s="124"/>
      <c r="B16" s="125"/>
      <c r="C16" s="133" t="s">
        <v>388</v>
      </c>
      <c r="D16" s="133"/>
      <c r="E16" s="135"/>
      <c r="F16" s="134"/>
      <c r="G16" s="133"/>
      <c r="H16" s="133"/>
      <c r="I16" s="133"/>
    </row>
    <row r="17" s="92" customFormat="1" ht="16.05" customHeight="1" spans="1:9">
      <c r="A17" s="136"/>
      <c r="B17" s="137"/>
      <c r="C17" s="133" t="s">
        <v>389</v>
      </c>
      <c r="D17" s="133"/>
      <c r="E17" s="135"/>
      <c r="F17" s="134"/>
      <c r="G17" s="133"/>
      <c r="H17" s="133"/>
      <c r="I17" s="133"/>
    </row>
    <row r="18" s="92" customFormat="1" ht="27" customHeight="1" spans="1:9">
      <c r="A18" s="138"/>
      <c r="B18" s="139" t="s">
        <v>390</v>
      </c>
      <c r="C18" s="139"/>
      <c r="D18" s="139"/>
      <c r="E18" s="139"/>
      <c r="F18" s="140"/>
    </row>
    <row r="19" s="92" customFormat="1" ht="29.4" customHeight="1" spans="1:9">
      <c r="A19" s="138"/>
      <c r="B19" s="8" t="s">
        <v>283</v>
      </c>
      <c r="E19" s="138"/>
      <c r="F19" s="141"/>
    </row>
    <row r="20" s="93" customFormat="1" ht="25.05" customHeight="1" spans="1:9">
      <c r="A20" s="138"/>
      <c r="B20" s="1" t="s">
        <v>284</v>
      </c>
      <c r="C20" s="92"/>
      <c r="D20" s="92"/>
      <c r="E20" s="138"/>
      <c r="F20" s="141"/>
      <c r="G20" s="92"/>
      <c r="H20" s="92"/>
      <c r="I20" s="92"/>
    </row>
    <row r="21" s="93" customFormat="1" ht="13.5" spans="1:9">
      <c r="A21" s="138"/>
      <c r="B21" s="92" t="s">
        <v>285</v>
      </c>
      <c r="C21" s="92"/>
      <c r="D21" s="92"/>
      <c r="E21" s="138"/>
      <c r="F21" s="141"/>
      <c r="G21" s="92"/>
      <c r="H21" s="92"/>
      <c r="I21" s="92"/>
    </row>
    <row r="23" ht="13.5" spans="1:9">
      <c r="C23" s="142"/>
    </row>
    <row r="27" spans="1:9">
      <c r="G27" s="26">
        <v>1434464.4825</v>
      </c>
    </row>
    <row r="33" spans="3:3">
      <c r="C33" s="93">
        <v>21022575</v>
      </c>
    </row>
  </sheetData>
  <mergeCells count="23">
    <mergeCell ref="A1:D1"/>
    <mergeCell ref="E1:I1"/>
    <mergeCell ref="E3:H3"/>
    <mergeCell ref="A11:D11"/>
    <mergeCell ref="C12:H12"/>
    <mergeCell ref="C13:I13"/>
    <mergeCell ref="C14:I14"/>
    <mergeCell ref="C15:I15"/>
    <mergeCell ref="C16:I16"/>
    <mergeCell ref="C17:I17"/>
    <mergeCell ref="B18:F18"/>
    <mergeCell ref="A3:A4"/>
    <mergeCell ref="A6:A7"/>
    <mergeCell ref="A8:A9"/>
    <mergeCell ref="B3:B4"/>
    <mergeCell ref="B6:B7"/>
    <mergeCell ref="B8:B9"/>
    <mergeCell ref="D6:D7"/>
    <mergeCell ref="D8:D9"/>
    <mergeCell ref="I3:I4"/>
    <mergeCell ref="I6:I9"/>
    <mergeCell ref="C3:D4"/>
    <mergeCell ref="A12:B17"/>
  </mergeCells>
  <printOptions horizontalCentered="1" verticalCentered="1"/>
  <pageMargins left="0.196527777777778" right="0.196527777777778" top="0.196527777777778" bottom="0.196527777777778" header="0" footer="0"/>
  <pageSetup paperSize="9" scale="82" orientation="landscape" useFirstPageNumber="1"/>
  <headerFooter/>
  <rowBreaks count="1" manualBreakCount="1">
    <brk id="22" max="16383"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pageSetUpPr fitToPage="1"/>
  </sheetPr>
  <dimension ref="A1:G11"/>
  <sheetViews>
    <sheetView tabSelected="1" workbookViewId="0">
      <selection activeCell="E4" sqref="E4:E9"/>
    </sheetView>
  </sheetViews>
  <sheetFormatPr defaultColWidth="8.725" defaultRowHeight="13.5" outlineLevelCol="6"/>
  <cols>
    <col min="1" max="1" width="4.75833333333333" customWidth="1"/>
    <col min="2" max="2" width="40.5" customWidth="1"/>
    <col min="3" max="3" width="9.375" customWidth="1"/>
    <col min="4" max="4" width="13.25" customWidth="1"/>
    <col min="5" max="5" width="15.6333333333333" customWidth="1"/>
    <col min="6" max="6" width="16.1833333333333" customWidth="1"/>
    <col min="7" max="7" width="35.375" customWidth="1"/>
    <col min="9" max="9" width="10.375"/>
  </cols>
  <sheetData>
    <row r="1" ht="18.75" spans="1:7">
      <c r="A1" s="50" t="str">
        <f>计划单!D4</f>
        <v>***110kV线路工程</v>
      </c>
      <c r="B1" s="50"/>
      <c r="C1" s="50"/>
      <c r="D1" s="50"/>
      <c r="E1" s="50"/>
      <c r="F1" s="51" t="s">
        <v>391</v>
      </c>
      <c r="G1" s="51"/>
    </row>
    <row r="2" spans="1:7">
      <c r="A2" s="24" t="s">
        <v>392</v>
      </c>
      <c r="B2" s="24"/>
      <c r="C2" s="25"/>
      <c r="D2" s="24"/>
      <c r="E2" s="24"/>
      <c r="F2" s="24"/>
      <c r="G2" s="26" t="s">
        <v>119</v>
      </c>
    </row>
    <row r="3" ht="31" customHeight="1" spans="1:7">
      <c r="A3" s="52" t="s">
        <v>8</v>
      </c>
      <c r="B3" s="53" t="s">
        <v>227</v>
      </c>
      <c r="C3" s="82" t="s">
        <v>393</v>
      </c>
      <c r="D3" s="83"/>
      <c r="E3" s="83"/>
      <c r="F3" s="84"/>
      <c r="G3" s="59" t="s">
        <v>13</v>
      </c>
    </row>
    <row r="4" ht="31" customHeight="1" spans="1:7">
      <c r="A4" s="52"/>
      <c r="B4" s="60"/>
      <c r="C4" s="63" t="s">
        <v>168</v>
      </c>
      <c r="D4" s="63" t="s">
        <v>394</v>
      </c>
      <c r="E4" s="63" t="s">
        <v>395</v>
      </c>
      <c r="F4" s="63" t="s">
        <v>232</v>
      </c>
      <c r="G4" s="59"/>
    </row>
    <row r="5" ht="31" customHeight="1" spans="1:7">
      <c r="A5" s="38">
        <v>1</v>
      </c>
      <c r="B5" s="46" t="s">
        <v>396</v>
      </c>
      <c r="C5" s="38" t="s">
        <v>397</v>
      </c>
      <c r="D5" s="38">
        <v>91.9476</v>
      </c>
      <c r="E5" s="47">
        <v>334.148</v>
      </c>
      <c r="F5" s="85">
        <f>E5*D5</f>
        <v>30724.1066448</v>
      </c>
      <c r="G5" s="49" t="s">
        <v>398</v>
      </c>
    </row>
    <row r="6" ht="31" customHeight="1" spans="1:7">
      <c r="A6" s="38">
        <v>2</v>
      </c>
      <c r="B6" s="46" t="s">
        <v>399</v>
      </c>
      <c r="C6" s="46" t="s">
        <v>397</v>
      </c>
      <c r="D6" s="38">
        <v>3.322</v>
      </c>
      <c r="E6" s="47">
        <v>1351.629</v>
      </c>
      <c r="F6" s="85">
        <f>E6*D6</f>
        <v>4490.111538</v>
      </c>
      <c r="G6" s="49" t="s">
        <v>398</v>
      </c>
    </row>
    <row r="7" ht="31" customHeight="1" spans="1:7">
      <c r="A7" s="38">
        <v>3</v>
      </c>
      <c r="B7" s="46" t="s">
        <v>400</v>
      </c>
      <c r="C7" s="46" t="s">
        <v>397</v>
      </c>
      <c r="D7" s="38">
        <v>3.322</v>
      </c>
      <c r="E7" s="47">
        <v>994.353</v>
      </c>
      <c r="F7" s="85">
        <f>E7*D7</f>
        <v>3303.240666</v>
      </c>
      <c r="G7" s="49" t="s">
        <v>398</v>
      </c>
    </row>
    <row r="8" ht="31" customHeight="1" spans="1:7">
      <c r="A8" s="38">
        <v>4</v>
      </c>
      <c r="B8" s="46" t="s">
        <v>401</v>
      </c>
      <c r="C8" s="46" t="s">
        <v>397</v>
      </c>
      <c r="D8" s="38">
        <v>2.561</v>
      </c>
      <c r="E8" s="47">
        <v>2145.059</v>
      </c>
      <c r="F8" s="85">
        <f>E8*D8</f>
        <v>5493.496099</v>
      </c>
      <c r="G8" s="49" t="s">
        <v>398</v>
      </c>
    </row>
    <row r="9" ht="31" customHeight="1" spans="1:7">
      <c r="A9" s="38">
        <v>5</v>
      </c>
      <c r="B9" s="46" t="s">
        <v>402</v>
      </c>
      <c r="C9" s="86" t="s">
        <v>397</v>
      </c>
      <c r="D9" s="47">
        <v>2.561</v>
      </c>
      <c r="E9" s="47">
        <v>1865.036</v>
      </c>
      <c r="F9" s="85">
        <f>E9*D9</f>
        <v>4776.357196</v>
      </c>
      <c r="G9" s="49" t="s">
        <v>398</v>
      </c>
    </row>
    <row r="10" ht="31" customHeight="1" spans="1:7">
      <c r="A10" s="38" t="s">
        <v>403</v>
      </c>
      <c r="B10" s="38"/>
      <c r="C10" s="86" t="s">
        <v>272</v>
      </c>
      <c r="D10" s="87"/>
      <c r="E10" s="77"/>
      <c r="F10" s="85">
        <f>SUM(F5:F9)</f>
        <v>48787.3121438</v>
      </c>
      <c r="G10" s="49" t="s">
        <v>404</v>
      </c>
    </row>
    <row r="11" spans="1:7">
      <c r="A11" s="88"/>
      <c r="B11" s="88"/>
      <c r="C11" s="88"/>
      <c r="D11" s="88"/>
      <c r="E11" s="88"/>
      <c r="F11" s="88"/>
      <c r="G11" s="88"/>
    </row>
  </sheetData>
  <mergeCells count="8">
    <mergeCell ref="A1:E1"/>
    <mergeCell ref="F1:G1"/>
    <mergeCell ref="C3:F3"/>
    <mergeCell ref="A10:B10"/>
    <mergeCell ref="C10:E10"/>
    <mergeCell ref="A3:A4"/>
    <mergeCell ref="B3:B4"/>
    <mergeCell ref="G3:G4"/>
  </mergeCells>
  <pageMargins left="0.75" right="0.75" top="1" bottom="1" header="0.5" footer="0.5"/>
  <pageSetup paperSize="9" scale="98" orientation="landscape"/>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pageSetUpPr fitToPage="1"/>
  </sheetPr>
  <dimension ref="A1:G31"/>
  <sheetViews>
    <sheetView view="pageBreakPreview" zoomScaleNormal="100" workbookViewId="0">
      <selection activeCell="E4" sqref="E4:E18"/>
    </sheetView>
  </sheetViews>
  <sheetFormatPr defaultColWidth="8.725" defaultRowHeight="13.5" outlineLevelCol="6"/>
  <cols>
    <col min="1" max="1" width="7.25" customWidth="1"/>
    <col min="2" max="2" width="45.625" customWidth="1"/>
    <col min="3" max="3" width="10.75" customWidth="1"/>
    <col min="4" max="4" width="10.625" customWidth="1"/>
    <col min="5" max="5" width="11.5" customWidth="1"/>
    <col min="6" max="6" width="13.125" customWidth="1"/>
    <col min="7" max="7" width="35" customWidth="1"/>
    <col min="8" max="8" width="10.5416666666667"/>
  </cols>
  <sheetData>
    <row r="1" ht="18.75" spans="1:7">
      <c r="A1" s="50" t="str">
        <f>计划单!D4</f>
        <v>***110kV线路工程</v>
      </c>
      <c r="B1" s="50"/>
      <c r="C1" s="51" t="s">
        <v>405</v>
      </c>
      <c r="D1" s="51"/>
      <c r="E1" s="51"/>
      <c r="F1" s="51"/>
      <c r="G1" s="51"/>
    </row>
    <row r="2" spans="1:7">
      <c r="A2" s="24" t="s">
        <v>406</v>
      </c>
      <c r="B2" s="24"/>
      <c r="C2" s="25"/>
      <c r="D2" s="24"/>
      <c r="E2" s="24"/>
      <c r="F2" s="24"/>
      <c r="G2" s="26" t="s">
        <v>119</v>
      </c>
    </row>
    <row r="3" ht="31" customHeight="1" spans="1:7">
      <c r="A3" s="38" t="s">
        <v>8</v>
      </c>
      <c r="B3" s="39" t="s">
        <v>227</v>
      </c>
      <c r="C3" s="40" t="s">
        <v>393</v>
      </c>
      <c r="D3" s="41"/>
      <c r="E3" s="41"/>
      <c r="F3" s="42"/>
      <c r="G3" s="43" t="s">
        <v>13</v>
      </c>
    </row>
    <row r="4" ht="31" customHeight="1" spans="1:7">
      <c r="A4" s="38"/>
      <c r="B4" s="44"/>
      <c r="C4" s="45" t="s">
        <v>168</v>
      </c>
      <c r="D4" s="45" t="s">
        <v>407</v>
      </c>
      <c r="E4" s="45" t="s">
        <v>408</v>
      </c>
      <c r="F4" s="45" t="s">
        <v>232</v>
      </c>
      <c r="G4" s="43"/>
    </row>
    <row r="5" ht="21" customHeight="1" spans="1:7">
      <c r="A5" s="38">
        <v>1</v>
      </c>
      <c r="B5" s="46" t="s">
        <v>409</v>
      </c>
      <c r="C5" s="38" t="s">
        <v>410</v>
      </c>
      <c r="D5" s="38">
        <v>4</v>
      </c>
      <c r="E5" s="47">
        <v>2340</v>
      </c>
      <c r="F5" s="47">
        <f>E5*D5</f>
        <v>9360</v>
      </c>
      <c r="G5" s="48" t="s">
        <v>411</v>
      </c>
    </row>
    <row r="6" ht="21" customHeight="1" spans="1:7">
      <c r="A6" s="38">
        <v>2</v>
      </c>
      <c r="B6" s="38" t="s">
        <v>412</v>
      </c>
      <c r="C6" s="38" t="s">
        <v>410</v>
      </c>
      <c r="D6" s="79">
        <v>8</v>
      </c>
      <c r="E6" s="47">
        <v>7200</v>
      </c>
      <c r="F6" s="47">
        <f t="shared" ref="F6:F18" si="0">E6*D6</f>
        <v>57600</v>
      </c>
      <c r="G6" s="49" t="s">
        <v>411</v>
      </c>
    </row>
    <row r="7" ht="21" customHeight="1" spans="1:7">
      <c r="A7" s="38">
        <v>3</v>
      </c>
      <c r="B7" s="38" t="s">
        <v>413</v>
      </c>
      <c r="C7" s="38" t="s">
        <v>410</v>
      </c>
      <c r="D7" s="38">
        <v>1</v>
      </c>
      <c r="E7" s="79">
        <v>5400</v>
      </c>
      <c r="F7" s="47">
        <f t="shared" si="0"/>
        <v>5400</v>
      </c>
      <c r="G7" s="49" t="s">
        <v>411</v>
      </c>
    </row>
    <row r="8" ht="21" customHeight="1" spans="1:7">
      <c r="A8" s="38">
        <v>4</v>
      </c>
      <c r="B8" s="38" t="s">
        <v>414</v>
      </c>
      <c r="C8" s="38" t="s">
        <v>410</v>
      </c>
      <c r="D8" s="79">
        <v>0</v>
      </c>
      <c r="E8" s="80">
        <v>0</v>
      </c>
      <c r="F8" s="47">
        <f t="shared" si="0"/>
        <v>0</v>
      </c>
      <c r="G8" s="49" t="s">
        <v>415</v>
      </c>
    </row>
    <row r="9" ht="21" customHeight="1" spans="1:7">
      <c r="A9" s="38">
        <v>5</v>
      </c>
      <c r="B9" s="38" t="s">
        <v>416</v>
      </c>
      <c r="C9" s="38" t="s">
        <v>410</v>
      </c>
      <c r="D9" s="79">
        <v>0</v>
      </c>
      <c r="E9" s="80">
        <v>0</v>
      </c>
      <c r="F9" s="47">
        <f t="shared" si="0"/>
        <v>0</v>
      </c>
      <c r="G9" s="49" t="s">
        <v>415</v>
      </c>
    </row>
    <row r="10" ht="21" customHeight="1" spans="1:7">
      <c r="A10" s="38">
        <v>6</v>
      </c>
      <c r="B10" s="38" t="s">
        <v>417</v>
      </c>
      <c r="C10" s="38" t="s">
        <v>410</v>
      </c>
      <c r="D10" s="79">
        <v>0</v>
      </c>
      <c r="E10" s="80">
        <v>0</v>
      </c>
      <c r="F10" s="47">
        <f t="shared" si="0"/>
        <v>0</v>
      </c>
      <c r="G10" s="49" t="s">
        <v>415</v>
      </c>
    </row>
    <row r="11" ht="21" customHeight="1" spans="1:7">
      <c r="A11" s="38">
        <v>7</v>
      </c>
      <c r="B11" s="38" t="s">
        <v>418</v>
      </c>
      <c r="C11" s="38" t="s">
        <v>410</v>
      </c>
      <c r="D11" s="79">
        <v>0</v>
      </c>
      <c r="E11" s="80">
        <v>0</v>
      </c>
      <c r="F11" s="47">
        <f t="shared" si="0"/>
        <v>0</v>
      </c>
      <c r="G11" s="49" t="s">
        <v>415</v>
      </c>
    </row>
    <row r="12" ht="21" customHeight="1" spans="1:7">
      <c r="A12" s="38">
        <v>8</v>
      </c>
      <c r="B12" s="38" t="s">
        <v>419</v>
      </c>
      <c r="C12" s="38" t="s">
        <v>410</v>
      </c>
      <c r="D12" s="79">
        <v>0</v>
      </c>
      <c r="E12" s="80">
        <v>32400</v>
      </c>
      <c r="F12" s="47">
        <f t="shared" si="0"/>
        <v>0</v>
      </c>
      <c r="G12" s="49" t="s">
        <v>411</v>
      </c>
    </row>
    <row r="13" ht="21" customHeight="1" spans="1:7">
      <c r="A13" s="38">
        <v>9</v>
      </c>
      <c r="B13" s="38" t="s">
        <v>420</v>
      </c>
      <c r="C13" s="38" t="s">
        <v>410</v>
      </c>
      <c r="D13" s="79">
        <v>0</v>
      </c>
      <c r="E13" s="80">
        <v>32400</v>
      </c>
      <c r="F13" s="47">
        <f t="shared" si="0"/>
        <v>0</v>
      </c>
      <c r="G13" s="49" t="s">
        <v>411</v>
      </c>
    </row>
    <row r="14" ht="28.5" spans="1:7">
      <c r="A14" s="38">
        <v>10</v>
      </c>
      <c r="B14" s="38" t="s">
        <v>421</v>
      </c>
      <c r="C14" s="38" t="s">
        <v>410</v>
      </c>
      <c r="D14" s="79">
        <v>0</v>
      </c>
      <c r="E14" s="80">
        <v>653.82</v>
      </c>
      <c r="F14" s="47">
        <f t="shared" si="0"/>
        <v>0</v>
      </c>
      <c r="G14" s="49" t="s">
        <v>422</v>
      </c>
    </row>
    <row r="15" ht="28.5" spans="1:7">
      <c r="A15" s="38">
        <v>11</v>
      </c>
      <c r="B15" s="38" t="s">
        <v>423</v>
      </c>
      <c r="C15" s="38" t="s">
        <v>410</v>
      </c>
      <c r="D15" s="79">
        <v>0</v>
      </c>
      <c r="E15" s="80">
        <v>1097.87</v>
      </c>
      <c r="F15" s="47">
        <f t="shared" si="0"/>
        <v>0</v>
      </c>
      <c r="G15" s="49" t="s">
        <v>422</v>
      </c>
    </row>
    <row r="16" ht="21" customHeight="1" spans="1:7">
      <c r="A16" s="38">
        <v>12</v>
      </c>
      <c r="B16" s="38" t="s">
        <v>424</v>
      </c>
      <c r="C16" s="38" t="s">
        <v>410</v>
      </c>
      <c r="D16" s="79">
        <v>2</v>
      </c>
      <c r="E16" s="80">
        <v>183.08</v>
      </c>
      <c r="F16" s="47">
        <f t="shared" si="0"/>
        <v>366.16</v>
      </c>
      <c r="G16" s="49" t="s">
        <v>422</v>
      </c>
    </row>
    <row r="17" ht="21" customHeight="1" spans="1:7">
      <c r="A17" s="38">
        <v>13</v>
      </c>
      <c r="B17" s="38" t="s">
        <v>425</v>
      </c>
      <c r="C17" s="38" t="s">
        <v>410</v>
      </c>
      <c r="D17" s="79">
        <v>0</v>
      </c>
      <c r="E17" s="80">
        <v>0</v>
      </c>
      <c r="F17" s="47">
        <f t="shared" si="0"/>
        <v>0</v>
      </c>
      <c r="G17" s="49" t="s">
        <v>426</v>
      </c>
    </row>
    <row r="18" ht="21" customHeight="1" spans="1:7">
      <c r="A18" s="38">
        <v>14</v>
      </c>
      <c r="B18" s="38" t="s">
        <v>427</v>
      </c>
      <c r="C18" s="38" t="s">
        <v>410</v>
      </c>
      <c r="D18" s="79">
        <v>1</v>
      </c>
      <c r="E18" s="47">
        <v>304.84</v>
      </c>
      <c r="F18" s="47">
        <f t="shared" si="0"/>
        <v>304.84</v>
      </c>
      <c r="G18" s="49" t="s">
        <v>422</v>
      </c>
    </row>
    <row r="19" ht="21" customHeight="1" spans="1:7">
      <c r="A19" s="38" t="s">
        <v>403</v>
      </c>
      <c r="B19" s="38"/>
      <c r="C19" s="81" t="s">
        <v>272</v>
      </c>
      <c r="D19" s="81"/>
      <c r="E19" s="81"/>
      <c r="F19" s="47">
        <f>SUM(F5:F18)</f>
        <v>73031</v>
      </c>
      <c r="G19" s="49" t="s">
        <v>428</v>
      </c>
    </row>
  </sheetData>
  <mergeCells count="9">
    <mergeCell ref="A1:B1"/>
    <mergeCell ref="C1:G1"/>
    <mergeCell ref="C3:F3"/>
    <mergeCell ref="A19:B19"/>
    <mergeCell ref="C19:E19"/>
    <mergeCell ref="A3:A4"/>
    <mergeCell ref="B3:B4"/>
    <mergeCell ref="C29:C31"/>
    <mergeCell ref="G3:G4"/>
  </mergeCells>
  <pageMargins left="0.75" right="0.75" top="1" bottom="1" header="0.5" footer="0.5"/>
  <pageSetup paperSize="9" scale="97" fitToHeight="0"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pageSetUpPr fitToPage="1"/>
  </sheetPr>
  <dimension ref="A1:E11"/>
  <sheetViews>
    <sheetView view="pageBreakPreview" zoomScaleNormal="130" workbookViewId="0">
      <selection activeCell="D4" sqref="D4:D10"/>
    </sheetView>
  </sheetViews>
  <sheetFormatPr defaultColWidth="8.725" defaultRowHeight="13.5" outlineLevelCol="4"/>
  <cols>
    <col min="1" max="1" width="4.75833333333333" customWidth="1"/>
    <col min="2" max="2" width="23" customWidth="1"/>
    <col min="3" max="3" width="12.875" customWidth="1"/>
    <col min="4" max="4" width="11.7583333333333" customWidth="1"/>
    <col min="5" max="5" width="49.125" customWidth="1"/>
  </cols>
  <sheetData>
    <row r="1" ht="18.75" spans="1:5">
      <c r="A1" s="73" t="str">
        <f>计划单!D4</f>
        <v>***110kV线路工程</v>
      </c>
      <c r="B1" s="73"/>
      <c r="C1" s="73"/>
      <c r="D1" s="73"/>
      <c r="E1" s="74" t="s">
        <v>429</v>
      </c>
    </row>
    <row r="2" spans="1:5">
      <c r="A2" s="24" t="s">
        <v>430</v>
      </c>
      <c r="B2" s="24"/>
      <c r="C2" s="24"/>
      <c r="D2" s="24"/>
      <c r="E2" s="75" t="s">
        <v>119</v>
      </c>
    </row>
    <row r="3" ht="29" customHeight="1" spans="1:5">
      <c r="A3" s="38" t="s">
        <v>8</v>
      </c>
      <c r="B3" s="39" t="s">
        <v>227</v>
      </c>
      <c r="C3" s="41" t="s">
        <v>393</v>
      </c>
      <c r="D3" s="42"/>
      <c r="E3" s="43" t="s">
        <v>13</v>
      </c>
    </row>
    <row r="4" ht="29" customHeight="1" spans="1:5">
      <c r="A4" s="38"/>
      <c r="B4" s="44"/>
      <c r="C4" s="45" t="s">
        <v>431</v>
      </c>
      <c r="D4" s="45" t="s">
        <v>432</v>
      </c>
      <c r="E4" s="43"/>
    </row>
    <row r="5" ht="87" customHeight="1" spans="1:5">
      <c r="A5" s="38">
        <v>1</v>
      </c>
      <c r="B5" s="46" t="s">
        <v>43</v>
      </c>
      <c r="C5" s="47">
        <v>690000</v>
      </c>
      <c r="D5" s="47">
        <f t="shared" ref="D5:D10" si="0">C5*0.8</f>
        <v>552000</v>
      </c>
      <c r="E5" s="76" t="s">
        <v>433</v>
      </c>
    </row>
    <row r="6" ht="38" customHeight="1" spans="1:5">
      <c r="A6" s="38">
        <v>2</v>
      </c>
      <c r="B6" s="46" t="s">
        <v>45</v>
      </c>
      <c r="C6" s="47">
        <v>0</v>
      </c>
      <c r="D6" s="47">
        <f t="shared" si="0"/>
        <v>0</v>
      </c>
      <c r="E6" s="76" t="s">
        <v>434</v>
      </c>
    </row>
    <row r="7" ht="38" customHeight="1" spans="1:5">
      <c r="A7" s="38">
        <v>3</v>
      </c>
      <c r="B7" s="46" t="s">
        <v>46</v>
      </c>
      <c r="C7" s="47">
        <v>10000</v>
      </c>
      <c r="D7" s="47">
        <f t="shared" si="0"/>
        <v>8000</v>
      </c>
      <c r="E7" s="76" t="s">
        <v>434</v>
      </c>
    </row>
    <row r="8" ht="38" customHeight="1" spans="1:5">
      <c r="A8" s="38">
        <v>4</v>
      </c>
      <c r="B8" s="46" t="s">
        <v>47</v>
      </c>
      <c r="C8" s="47">
        <v>0</v>
      </c>
      <c r="D8" s="47">
        <f t="shared" si="0"/>
        <v>0</v>
      </c>
      <c r="E8" s="76" t="s">
        <v>435</v>
      </c>
    </row>
    <row r="9" ht="38" customHeight="1" spans="1:5">
      <c r="A9" s="38">
        <v>5</v>
      </c>
      <c r="B9" s="46" t="s">
        <v>50</v>
      </c>
      <c r="C9" s="47">
        <v>21000</v>
      </c>
      <c r="D9" s="47">
        <f t="shared" si="0"/>
        <v>16800</v>
      </c>
      <c r="E9" s="76" t="s">
        <v>434</v>
      </c>
    </row>
    <row r="10" ht="38" customHeight="1" spans="1:5">
      <c r="A10" s="38">
        <v>6</v>
      </c>
      <c r="B10" s="46" t="s">
        <v>51</v>
      </c>
      <c r="C10" s="47">
        <v>0</v>
      </c>
      <c r="D10" s="47">
        <f t="shared" si="0"/>
        <v>0</v>
      </c>
      <c r="E10" s="76" t="s">
        <v>436</v>
      </c>
    </row>
    <row r="11" ht="38" customHeight="1" spans="1:5">
      <c r="A11" s="38" t="s">
        <v>403</v>
      </c>
      <c r="B11" s="38"/>
      <c r="C11" s="77"/>
      <c r="D11" s="47">
        <f>SUM(D5:D10)</f>
        <v>576800</v>
      </c>
      <c r="E11" s="78"/>
    </row>
  </sheetData>
  <mergeCells count="6">
    <mergeCell ref="A1:D1"/>
    <mergeCell ref="C3:D3"/>
    <mergeCell ref="A11:B11"/>
    <mergeCell ref="A3:A4"/>
    <mergeCell ref="B3:B4"/>
    <mergeCell ref="E3:E4"/>
  </mergeCells>
  <pageMargins left="0.75" right="0.75" top="1" bottom="1" header="0.5" footer="0.5"/>
  <pageSetup paperSize="9" fitToHeight="0" orientation="landscape"/>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pageSetUpPr fitToPage="1"/>
  </sheetPr>
  <dimension ref="A1:I9"/>
  <sheetViews>
    <sheetView workbookViewId="0">
      <selection activeCell="F7" sqref="F7"/>
    </sheetView>
  </sheetViews>
  <sheetFormatPr defaultColWidth="8.725" defaultRowHeight="13.5"/>
  <cols>
    <col min="1" max="1" width="4.75833333333333" customWidth="1"/>
    <col min="2" max="2" width="8.25833333333333" customWidth="1"/>
    <col min="3" max="3" width="13.2583333333333" customWidth="1"/>
    <col min="4" max="4" width="10.2583333333333" customWidth="1"/>
    <col min="5" max="5" width="10.7583333333333" customWidth="1"/>
    <col min="6" max="6" width="14" customWidth="1"/>
    <col min="7" max="7" width="13.5" customWidth="1"/>
    <col min="8" max="8" width="11.625" customWidth="1"/>
    <col min="9" max="9" width="46" customWidth="1"/>
  </cols>
  <sheetData>
    <row r="1" ht="18.75" spans="1:9">
      <c r="A1" s="50" t="str">
        <f>计划单!D4</f>
        <v>***110kV线路工程</v>
      </c>
      <c r="B1" s="50"/>
      <c r="C1" s="50"/>
      <c r="D1" s="50"/>
      <c r="E1" s="51" t="s">
        <v>437</v>
      </c>
      <c r="F1" s="51"/>
      <c r="G1" s="51"/>
      <c r="H1" s="51"/>
      <c r="I1" s="51"/>
    </row>
    <row r="2" spans="1:9">
      <c r="A2" s="24" t="s">
        <v>438</v>
      </c>
      <c r="B2" s="24"/>
      <c r="C2" s="24"/>
      <c r="D2" s="24"/>
      <c r="E2" s="25"/>
      <c r="F2" s="24"/>
      <c r="G2" s="24"/>
      <c r="H2" s="24"/>
      <c r="I2" s="26" t="s">
        <v>119</v>
      </c>
    </row>
    <row r="3" ht="42" customHeight="1" spans="1:9">
      <c r="A3" s="52" t="s">
        <v>8</v>
      </c>
      <c r="B3" s="53" t="s">
        <v>227</v>
      </c>
      <c r="C3" s="54"/>
      <c r="D3" s="55"/>
      <c r="E3" s="56" t="s">
        <v>393</v>
      </c>
      <c r="F3" s="57"/>
      <c r="G3" s="57"/>
      <c r="H3" s="58"/>
      <c r="I3" s="59" t="s">
        <v>13</v>
      </c>
    </row>
    <row r="4" ht="42" customHeight="1" spans="1:9">
      <c r="A4" s="52"/>
      <c r="B4" s="60"/>
      <c r="C4" s="61"/>
      <c r="D4" s="62"/>
      <c r="E4" s="63" t="s">
        <v>168</v>
      </c>
      <c r="F4" s="63" t="s">
        <v>407</v>
      </c>
      <c r="G4" s="63" t="s">
        <v>408</v>
      </c>
      <c r="H4" s="63" t="s">
        <v>232</v>
      </c>
      <c r="I4" s="59"/>
    </row>
    <row r="5" ht="42" customHeight="1" spans="1:9">
      <c r="A5" s="52">
        <v>1</v>
      </c>
      <c r="B5" s="64" t="s">
        <v>65</v>
      </c>
      <c r="C5" s="65"/>
      <c r="D5" s="66"/>
      <c r="E5" s="52" t="s">
        <v>439</v>
      </c>
      <c r="F5" s="52">
        <v>2</v>
      </c>
      <c r="G5" s="67">
        <v>3300</v>
      </c>
      <c r="H5" s="67">
        <f>G5*F5</f>
        <v>6600</v>
      </c>
      <c r="I5" s="68" t="s">
        <v>440</v>
      </c>
    </row>
    <row r="6" ht="42" customHeight="1" spans="1:9">
      <c r="A6" s="52">
        <v>2</v>
      </c>
      <c r="B6" s="64" t="s">
        <v>67</v>
      </c>
      <c r="C6" s="65"/>
      <c r="D6" s="66"/>
      <c r="E6" s="52" t="s">
        <v>441</v>
      </c>
      <c r="F6" s="67">
        <v>1</v>
      </c>
      <c r="G6" s="67">
        <v>3050</v>
      </c>
      <c r="H6" s="67">
        <f>G6*F6</f>
        <v>3050</v>
      </c>
      <c r="I6" s="68" t="s">
        <v>440</v>
      </c>
    </row>
    <row r="7" ht="42" customHeight="1" spans="1:9">
      <c r="A7" s="52">
        <v>3</v>
      </c>
      <c r="B7" s="64" t="s">
        <v>69</v>
      </c>
      <c r="C7" s="65"/>
      <c r="D7" s="66"/>
      <c r="E7" s="52" t="s">
        <v>441</v>
      </c>
      <c r="F7" s="67">
        <v>1</v>
      </c>
      <c r="G7" s="67">
        <v>0</v>
      </c>
      <c r="H7" s="67">
        <f>G7*F7</f>
        <v>0</v>
      </c>
      <c r="I7" s="68" t="s">
        <v>442</v>
      </c>
    </row>
    <row r="8" ht="42" customHeight="1" spans="1:9">
      <c r="A8" s="52">
        <v>4</v>
      </c>
      <c r="B8" s="64" t="s">
        <v>71</v>
      </c>
      <c r="C8" s="65"/>
      <c r="D8" s="66"/>
      <c r="E8" s="52" t="s">
        <v>410</v>
      </c>
      <c r="F8" s="67">
        <v>0</v>
      </c>
      <c r="G8" s="67">
        <v>0</v>
      </c>
      <c r="H8" s="67">
        <f>G8*F8</f>
        <v>0</v>
      </c>
      <c r="I8" s="69" t="s">
        <v>443</v>
      </c>
    </row>
    <row r="9" ht="42" customHeight="1" spans="1:9">
      <c r="A9" s="52" t="s">
        <v>403</v>
      </c>
      <c r="B9" s="52"/>
      <c r="C9" s="52"/>
      <c r="D9" s="52"/>
      <c r="E9" s="70" t="s">
        <v>272</v>
      </c>
      <c r="F9" s="71"/>
      <c r="G9" s="72"/>
      <c r="H9" s="67">
        <f>SUM(H5:H8)</f>
        <v>9650</v>
      </c>
      <c r="I9" s="69"/>
    </row>
  </sheetData>
  <mergeCells count="12">
    <mergeCell ref="A1:D1"/>
    <mergeCell ref="E1:I1"/>
    <mergeCell ref="E3:H3"/>
    <mergeCell ref="B5:D5"/>
    <mergeCell ref="B6:D6"/>
    <mergeCell ref="B7:D7"/>
    <mergeCell ref="B8:D8"/>
    <mergeCell ref="A9:D9"/>
    <mergeCell ref="E9:G9"/>
    <mergeCell ref="A3:A4"/>
    <mergeCell ref="I3:I4"/>
    <mergeCell ref="B3:D4"/>
  </mergeCells>
  <pageMargins left="0.75" right="0.75" top="1" bottom="1" header="0.5" footer="0.5"/>
  <pageSetup paperSize="9" fitToHeight="0" orientation="landscape"/>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8"/>
  <sheetViews>
    <sheetView workbookViewId="0">
      <selection activeCell="E4" sqref="E4:E7"/>
    </sheetView>
  </sheetViews>
  <sheetFormatPr defaultColWidth="9" defaultRowHeight="13.5" outlineLevelRow="7" outlineLevelCol="6"/>
  <cols>
    <col min="2" max="2" width="33.875" customWidth="1"/>
    <col min="3" max="3" width="10.625" customWidth="1"/>
    <col min="4" max="4" width="15.5" customWidth="1"/>
    <col min="5" max="5" width="14.125" customWidth="1"/>
    <col min="6" max="6" width="9.375"/>
    <col min="7" max="7" width="30.625" customWidth="1"/>
  </cols>
  <sheetData>
    <row r="1" ht="18.75" spans="1:7">
      <c r="A1" s="37" t="str">
        <f>计划单!D4</f>
        <v>***110kV线路工程</v>
      </c>
      <c r="B1" s="37"/>
      <c r="C1" s="37"/>
      <c r="D1" s="37"/>
      <c r="E1" s="37"/>
      <c r="F1" s="23" t="s">
        <v>444</v>
      </c>
      <c r="G1" s="23"/>
    </row>
    <row r="2" ht="22" customHeight="1" spans="1:7">
      <c r="A2" s="24" t="s">
        <v>406</v>
      </c>
      <c r="B2" s="24"/>
      <c r="C2" s="25"/>
      <c r="D2" s="24"/>
      <c r="E2" s="24"/>
      <c r="F2" s="24"/>
      <c r="G2" s="26" t="s">
        <v>119</v>
      </c>
    </row>
    <row r="3" ht="33" customHeight="1" spans="1:7">
      <c r="A3" s="38" t="s">
        <v>8</v>
      </c>
      <c r="B3" s="39" t="s">
        <v>227</v>
      </c>
      <c r="C3" s="40" t="s">
        <v>393</v>
      </c>
      <c r="D3" s="41"/>
      <c r="E3" s="41"/>
      <c r="F3" s="42"/>
      <c r="G3" s="43" t="s">
        <v>13</v>
      </c>
    </row>
    <row r="4" ht="33" customHeight="1" spans="1:7">
      <c r="A4" s="38"/>
      <c r="B4" s="44"/>
      <c r="C4" s="45" t="s">
        <v>168</v>
      </c>
      <c r="D4" s="45" t="s">
        <v>407</v>
      </c>
      <c r="E4" s="45" t="s">
        <v>408</v>
      </c>
      <c r="F4" s="45" t="s">
        <v>232</v>
      </c>
      <c r="G4" s="43"/>
    </row>
    <row r="5" ht="33" customHeight="1" spans="1:7">
      <c r="A5" s="38">
        <v>1</v>
      </c>
      <c r="B5" s="46" t="s">
        <v>445</v>
      </c>
      <c r="C5" s="38" t="s">
        <v>410</v>
      </c>
      <c r="D5" s="38">
        <v>0</v>
      </c>
      <c r="E5" s="47">
        <v>208358.8</v>
      </c>
      <c r="F5" s="47">
        <f>E5*D5</f>
        <v>0</v>
      </c>
      <c r="G5" s="48" t="s">
        <v>411</v>
      </c>
    </row>
    <row r="6" ht="33" customHeight="1" spans="1:7">
      <c r="A6" s="38">
        <v>2</v>
      </c>
      <c r="B6" s="38" t="s">
        <v>446</v>
      </c>
      <c r="C6" s="38" t="s">
        <v>410</v>
      </c>
      <c r="D6" s="38">
        <v>0</v>
      </c>
      <c r="E6" s="38">
        <v>208358.8</v>
      </c>
      <c r="F6" s="38">
        <f>E6*D6</f>
        <v>0</v>
      </c>
      <c r="G6" s="38" t="s">
        <v>411</v>
      </c>
    </row>
    <row r="7" ht="33" customHeight="1" spans="1:7">
      <c r="A7" s="38">
        <v>3</v>
      </c>
      <c r="B7" s="38" t="s">
        <v>447</v>
      </c>
      <c r="C7" s="38" t="s">
        <v>410</v>
      </c>
      <c r="D7" s="38">
        <v>0</v>
      </c>
      <c r="E7" s="38">
        <f>300000*0.8</f>
        <v>240000</v>
      </c>
      <c r="F7" s="38">
        <f>E7*D7</f>
        <v>0</v>
      </c>
      <c r="G7" s="38" t="s">
        <v>448</v>
      </c>
    </row>
    <row r="8" ht="33" customHeight="1" spans="1:7">
      <c r="A8" s="38" t="s">
        <v>403</v>
      </c>
      <c r="B8" s="38"/>
      <c r="C8" s="47" t="s">
        <v>272</v>
      </c>
      <c r="D8" s="47"/>
      <c r="E8" s="47"/>
      <c r="F8" s="47">
        <f>SUM(F5:F7)</f>
        <v>0</v>
      </c>
      <c r="G8" s="49" t="s">
        <v>428</v>
      </c>
    </row>
  </sheetData>
  <mergeCells count="8">
    <mergeCell ref="A1:E1"/>
    <mergeCell ref="F1:G1"/>
    <mergeCell ref="C3:F3"/>
    <mergeCell ref="A8:B8"/>
    <mergeCell ref="C8:E8"/>
    <mergeCell ref="A3:A4"/>
    <mergeCell ref="B3:B4"/>
    <mergeCell ref="G3:G4"/>
  </mergeCells>
  <pageMargins left="0.75" right="0.75" top="1" bottom="1" header="0.5" footer="0.5"/>
  <pageSetup paperSize="9" orientation="landscape"/>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31"/>
  <sheetViews>
    <sheetView workbookViewId="0">
      <selection activeCell="I3" sqref="I3"/>
    </sheetView>
  </sheetViews>
  <sheetFormatPr defaultColWidth="9" defaultRowHeight="13.5"/>
  <cols>
    <col min="1" max="1" width="5.25" customWidth="1"/>
    <col min="2" max="2" width="9.375" customWidth="1"/>
    <col min="3" max="3" width="13" customWidth="1"/>
    <col min="4" max="4" width="13.625" customWidth="1"/>
    <col min="5" max="5" width="27.5" customWidth="1"/>
    <col min="7" max="7" width="6.625" customWidth="1"/>
    <col min="10" max="10" width="14.5" customWidth="1"/>
  </cols>
  <sheetData>
    <row r="1" ht="18.75" spans="1:10">
      <c r="A1" s="22" t="str">
        <f>[1]计划单!D4</f>
        <v>宝塔~露西π入文华变110kV线路工程</v>
      </c>
      <c r="B1" s="22"/>
      <c r="C1" s="22"/>
      <c r="D1" s="22"/>
      <c r="E1" s="23" t="s">
        <v>449</v>
      </c>
      <c r="F1" s="23"/>
      <c r="G1" s="23"/>
    </row>
    <row r="2" spans="1:10">
      <c r="A2" s="24" t="s">
        <v>406</v>
      </c>
      <c r="B2" s="24"/>
      <c r="C2" s="25"/>
      <c r="D2" s="24"/>
      <c r="E2" s="24"/>
      <c r="F2" s="24"/>
      <c r="G2" s="26" t="s">
        <v>119</v>
      </c>
    </row>
    <row r="3" spans="1:10">
      <c r="A3" s="27" t="s">
        <v>8</v>
      </c>
      <c r="B3" s="28" t="s">
        <v>450</v>
      </c>
      <c r="C3" s="28"/>
      <c r="D3" s="27" t="s">
        <v>451</v>
      </c>
      <c r="E3" s="27" t="s">
        <v>452</v>
      </c>
      <c r="F3" s="27" t="s">
        <v>453</v>
      </c>
      <c r="G3" s="27" t="s">
        <v>168</v>
      </c>
      <c r="H3" s="27" t="s">
        <v>454</v>
      </c>
      <c r="I3" s="27" t="s">
        <v>455</v>
      </c>
      <c r="J3" s="27" t="s">
        <v>13</v>
      </c>
    </row>
    <row r="4" ht="25.5" spans="1:10">
      <c r="A4" s="27"/>
      <c r="B4" s="28"/>
      <c r="C4" s="28"/>
      <c r="D4" s="27"/>
      <c r="E4" s="27"/>
      <c r="F4" s="27"/>
      <c r="G4" s="27"/>
      <c r="H4" s="27" t="s">
        <v>456</v>
      </c>
      <c r="I4" s="27" t="s">
        <v>457</v>
      </c>
      <c r="J4" s="27"/>
    </row>
    <row r="5" ht="25.5" spans="1:10">
      <c r="A5" s="29">
        <v>1</v>
      </c>
      <c r="B5" s="30" t="s">
        <v>458</v>
      </c>
      <c r="C5" s="30" t="s">
        <v>459</v>
      </c>
      <c r="D5" s="31" t="s">
        <v>460</v>
      </c>
      <c r="E5" s="31" t="s">
        <v>461</v>
      </c>
      <c r="F5" s="29">
        <v>1</v>
      </c>
      <c r="G5" s="30" t="s">
        <v>462</v>
      </c>
      <c r="H5" s="32">
        <v>725</v>
      </c>
      <c r="I5" s="32">
        <v>725</v>
      </c>
      <c r="J5" s="29" t="s">
        <v>463</v>
      </c>
    </row>
    <row r="6" ht="55" customHeight="1" spans="1:10">
      <c r="A6" s="29"/>
      <c r="B6" s="30"/>
      <c r="C6" s="30"/>
      <c r="D6" s="31" t="s">
        <v>464</v>
      </c>
      <c r="E6" s="31"/>
      <c r="F6" s="29">
        <v>1</v>
      </c>
      <c r="G6" s="30"/>
      <c r="H6" s="32">
        <v>780</v>
      </c>
      <c r="I6" s="32">
        <v>780</v>
      </c>
      <c r="J6" s="29"/>
    </row>
    <row r="7" ht="38.25" spans="1:10">
      <c r="A7" s="29">
        <v>2</v>
      </c>
      <c r="B7" s="30"/>
      <c r="C7" s="30" t="s">
        <v>317</v>
      </c>
      <c r="D7" s="31" t="s">
        <v>465</v>
      </c>
      <c r="E7" s="31" t="s">
        <v>466</v>
      </c>
      <c r="F7" s="29">
        <v>1</v>
      </c>
      <c r="G7" s="30" t="s">
        <v>462</v>
      </c>
      <c r="H7" s="32">
        <v>1355</v>
      </c>
      <c r="I7" s="32">
        <v>1355</v>
      </c>
      <c r="J7" s="30" t="s">
        <v>467</v>
      </c>
    </row>
    <row r="8" ht="39" customHeight="1" spans="1:10">
      <c r="A8" s="29"/>
      <c r="B8" s="30"/>
      <c r="C8" s="30"/>
      <c r="D8" s="31" t="s">
        <v>468</v>
      </c>
      <c r="E8" s="31"/>
      <c r="F8" s="29">
        <v>1</v>
      </c>
      <c r="G8" s="30"/>
      <c r="H8" s="32">
        <v>4285</v>
      </c>
      <c r="I8" s="32">
        <v>4285</v>
      </c>
      <c r="J8" s="30"/>
    </row>
    <row r="9" ht="38.25" spans="1:10">
      <c r="A9" s="29">
        <v>3</v>
      </c>
      <c r="B9" s="30"/>
      <c r="C9" s="30" t="s">
        <v>469</v>
      </c>
      <c r="D9" s="31" t="s">
        <v>470</v>
      </c>
      <c r="E9" s="31" t="s">
        <v>471</v>
      </c>
      <c r="F9" s="29">
        <v>1</v>
      </c>
      <c r="G9" s="30" t="s">
        <v>462</v>
      </c>
      <c r="H9" s="32">
        <v>1135</v>
      </c>
      <c r="I9" s="32">
        <v>1135</v>
      </c>
      <c r="J9" s="30" t="s">
        <v>467</v>
      </c>
    </row>
    <row r="10" spans="1:10">
      <c r="A10" s="29"/>
      <c r="B10" s="30"/>
      <c r="C10" s="30"/>
      <c r="D10" s="30" t="s">
        <v>472</v>
      </c>
      <c r="E10" s="31"/>
      <c r="F10" s="29"/>
      <c r="G10" s="30"/>
      <c r="H10" s="32"/>
      <c r="I10" s="32"/>
      <c r="J10" s="30"/>
    </row>
    <row r="11" spans="1:10">
      <c r="A11" s="29"/>
      <c r="B11" s="30"/>
      <c r="C11" s="30"/>
      <c r="D11" s="31" t="s">
        <v>468</v>
      </c>
      <c r="E11" s="31"/>
      <c r="F11" s="29">
        <v>1</v>
      </c>
      <c r="G11" s="30"/>
      <c r="H11" s="32">
        <v>1385</v>
      </c>
      <c r="I11" s="32">
        <v>1385</v>
      </c>
      <c r="J11" s="30"/>
    </row>
    <row r="12" ht="51" spans="1:10">
      <c r="A12" s="29">
        <v>4</v>
      </c>
      <c r="B12" s="30"/>
      <c r="C12" s="30" t="s">
        <v>473</v>
      </c>
      <c r="D12" s="31" t="s">
        <v>474</v>
      </c>
      <c r="E12" s="31" t="s">
        <v>475</v>
      </c>
      <c r="F12" s="29">
        <v>5</v>
      </c>
      <c r="G12" s="30" t="s">
        <v>462</v>
      </c>
      <c r="H12" s="33">
        <v>265</v>
      </c>
      <c r="I12" s="33">
        <v>1325</v>
      </c>
      <c r="J12" s="30" t="s">
        <v>476</v>
      </c>
    </row>
    <row r="13" ht="42" customHeight="1" spans="1:10">
      <c r="A13" s="29">
        <v>5</v>
      </c>
      <c r="B13" s="30"/>
      <c r="C13" s="30" t="s">
        <v>477</v>
      </c>
      <c r="D13" s="31" t="s">
        <v>478</v>
      </c>
      <c r="E13" s="31" t="s">
        <v>479</v>
      </c>
      <c r="F13" s="29">
        <v>2</v>
      </c>
      <c r="G13" s="30" t="s">
        <v>462</v>
      </c>
      <c r="H13" s="33">
        <v>2400</v>
      </c>
      <c r="I13" s="33">
        <v>4800</v>
      </c>
      <c r="J13" s="30" t="s">
        <v>480</v>
      </c>
    </row>
    <row r="14" ht="39" spans="1:10">
      <c r="A14" s="29">
        <v>6</v>
      </c>
      <c r="B14" s="30"/>
      <c r="C14" s="30" t="s">
        <v>481</v>
      </c>
      <c r="D14" s="31" t="s">
        <v>482</v>
      </c>
      <c r="E14" s="31" t="s">
        <v>483</v>
      </c>
      <c r="F14" s="29">
        <v>1</v>
      </c>
      <c r="G14" s="30" t="s">
        <v>462</v>
      </c>
      <c r="H14" s="33">
        <v>3000</v>
      </c>
      <c r="I14" s="33">
        <v>3000</v>
      </c>
      <c r="J14" s="34" t="s">
        <v>484</v>
      </c>
    </row>
    <row r="15" ht="76.5" spans="1:10">
      <c r="A15" s="29">
        <v>7</v>
      </c>
      <c r="B15" s="30"/>
      <c r="C15" s="30" t="s">
        <v>485</v>
      </c>
      <c r="D15" s="29" t="s">
        <v>486</v>
      </c>
      <c r="E15" s="31" t="s">
        <v>487</v>
      </c>
      <c r="F15" s="29">
        <v>1</v>
      </c>
      <c r="G15" s="30" t="s">
        <v>462</v>
      </c>
      <c r="H15" s="33">
        <v>2145</v>
      </c>
      <c r="I15" s="33">
        <v>2145</v>
      </c>
      <c r="J15" s="29"/>
    </row>
    <row r="16" ht="76.5" spans="1:10">
      <c r="A16" s="29"/>
      <c r="B16" s="30"/>
      <c r="C16" s="30"/>
      <c r="D16" s="29"/>
      <c r="E16" s="31" t="s">
        <v>488</v>
      </c>
      <c r="F16" s="29"/>
      <c r="G16" s="30"/>
      <c r="H16" s="33"/>
      <c r="I16" s="33"/>
      <c r="J16" s="29"/>
    </row>
    <row r="17" ht="25.5" spans="1:10">
      <c r="A17" s="29">
        <v>8</v>
      </c>
      <c r="B17" s="30"/>
      <c r="C17" s="30" t="s">
        <v>489</v>
      </c>
      <c r="D17" s="30" t="s">
        <v>490</v>
      </c>
      <c r="E17" s="31" t="s">
        <v>491</v>
      </c>
      <c r="F17" s="29">
        <v>2</v>
      </c>
      <c r="G17" s="30" t="s">
        <v>462</v>
      </c>
      <c r="H17" s="33">
        <v>375</v>
      </c>
      <c r="I17" s="33">
        <v>750</v>
      </c>
      <c r="J17" s="30" t="s">
        <v>492</v>
      </c>
    </row>
    <row r="18" ht="165.75" spans="1:10">
      <c r="A18" s="29"/>
      <c r="B18" s="30"/>
      <c r="C18" s="30"/>
      <c r="D18" s="30"/>
      <c r="E18" s="31" t="s">
        <v>493</v>
      </c>
      <c r="F18" s="29"/>
      <c r="G18" s="30"/>
      <c r="H18" s="33"/>
      <c r="I18" s="33"/>
      <c r="J18" s="30"/>
    </row>
    <row r="19" ht="51" spans="1:10">
      <c r="A19" s="29"/>
      <c r="B19" s="30"/>
      <c r="C19" s="30"/>
      <c r="D19" s="30"/>
      <c r="E19" s="31" t="s">
        <v>494</v>
      </c>
      <c r="F19" s="29"/>
      <c r="G19" s="30"/>
      <c r="H19" s="33"/>
      <c r="I19" s="33"/>
      <c r="J19" s="30"/>
    </row>
    <row r="20" ht="51" spans="1:10">
      <c r="A20" s="29">
        <v>9</v>
      </c>
      <c r="B20" s="30"/>
      <c r="C20" s="30" t="s">
        <v>495</v>
      </c>
      <c r="D20" s="31" t="s">
        <v>496</v>
      </c>
      <c r="E20" s="31" t="s">
        <v>497</v>
      </c>
      <c r="F20" s="29" t="s">
        <v>272</v>
      </c>
      <c r="G20" s="30" t="s">
        <v>462</v>
      </c>
      <c r="H20" s="33">
        <v>190</v>
      </c>
      <c r="I20" s="34" t="s">
        <v>272</v>
      </c>
      <c r="J20" s="30"/>
    </row>
    <row r="21" ht="51" spans="1:10">
      <c r="A21" s="29"/>
      <c r="B21" s="30"/>
      <c r="C21" s="30"/>
      <c r="D21" s="31"/>
      <c r="E21" s="31" t="s">
        <v>498</v>
      </c>
      <c r="F21" s="29"/>
      <c r="G21" s="30"/>
      <c r="H21" s="33"/>
      <c r="I21" s="34"/>
      <c r="J21" s="30"/>
    </row>
    <row r="22" ht="30" customHeight="1" spans="1:10">
      <c r="A22" s="29">
        <v>10</v>
      </c>
      <c r="B22" s="30"/>
      <c r="C22" s="30" t="s">
        <v>499</v>
      </c>
      <c r="D22" s="30" t="s">
        <v>500</v>
      </c>
      <c r="E22" s="30" t="s">
        <v>501</v>
      </c>
      <c r="F22" s="29">
        <v>1</v>
      </c>
      <c r="G22" s="30" t="s">
        <v>502</v>
      </c>
      <c r="H22" s="33">
        <v>5195</v>
      </c>
      <c r="I22" s="33">
        <v>5195</v>
      </c>
      <c r="J22" s="29"/>
    </row>
    <row r="23" ht="38.25" spans="1:10">
      <c r="A23" s="29">
        <v>11</v>
      </c>
      <c r="B23" s="30"/>
      <c r="C23" s="30" t="s">
        <v>187</v>
      </c>
      <c r="D23" s="31" t="s">
        <v>503</v>
      </c>
      <c r="E23" s="31" t="s">
        <v>504</v>
      </c>
      <c r="F23" s="29">
        <v>5</v>
      </c>
      <c r="G23" s="30" t="s">
        <v>462</v>
      </c>
      <c r="H23" s="31">
        <v>510</v>
      </c>
      <c r="I23" s="31">
        <v>2550</v>
      </c>
      <c r="J23" s="31" t="s">
        <v>505</v>
      </c>
    </row>
    <row r="24" ht="51" spans="1:10">
      <c r="A24" s="29">
        <v>12</v>
      </c>
      <c r="B24" s="30"/>
      <c r="C24" s="30" t="s">
        <v>506</v>
      </c>
      <c r="D24" s="31" t="s">
        <v>507</v>
      </c>
      <c r="E24" s="31" t="s">
        <v>508</v>
      </c>
      <c r="F24" s="29">
        <v>3</v>
      </c>
      <c r="G24" s="30" t="s">
        <v>462</v>
      </c>
      <c r="H24" s="33">
        <v>1150</v>
      </c>
      <c r="I24" s="33">
        <v>3450</v>
      </c>
      <c r="J24" s="29"/>
    </row>
    <row r="25" ht="51" spans="1:10">
      <c r="A25" s="29">
        <v>13</v>
      </c>
      <c r="B25" s="30"/>
      <c r="C25" s="30" t="s">
        <v>509</v>
      </c>
      <c r="D25" s="30" t="s">
        <v>510</v>
      </c>
      <c r="E25" s="31" t="s">
        <v>511</v>
      </c>
      <c r="F25" s="29">
        <v>8</v>
      </c>
      <c r="G25" s="30" t="s">
        <v>462</v>
      </c>
      <c r="H25" s="33">
        <v>70</v>
      </c>
      <c r="I25" s="33">
        <v>560</v>
      </c>
      <c r="J25" s="29"/>
    </row>
    <row r="26" ht="76.5" spans="1:10">
      <c r="A26" s="29"/>
      <c r="B26" s="30"/>
      <c r="C26" s="30"/>
      <c r="D26" s="30"/>
      <c r="E26" s="31" t="s">
        <v>512</v>
      </c>
      <c r="F26" s="29"/>
      <c r="G26" s="30"/>
      <c r="H26" s="33"/>
      <c r="I26" s="33"/>
      <c r="J26" s="29"/>
    </row>
    <row r="27" ht="63.75" spans="1:10">
      <c r="A27" s="29">
        <v>14</v>
      </c>
      <c r="B27" s="31"/>
      <c r="C27" s="31" t="s">
        <v>513</v>
      </c>
      <c r="D27" s="30" t="s">
        <v>514</v>
      </c>
      <c r="E27" s="31" t="s">
        <v>515</v>
      </c>
      <c r="F27" s="29">
        <v>3</v>
      </c>
      <c r="G27" s="30" t="s">
        <v>462</v>
      </c>
      <c r="H27" s="33">
        <v>70</v>
      </c>
      <c r="I27" s="33">
        <v>210</v>
      </c>
      <c r="J27" s="29"/>
    </row>
    <row r="28" ht="25.5" spans="1:10">
      <c r="A28" s="29"/>
      <c r="B28" s="31"/>
      <c r="C28" s="31"/>
      <c r="D28" s="30"/>
      <c r="E28" s="31" t="s">
        <v>516</v>
      </c>
      <c r="F28" s="29"/>
      <c r="G28" s="30"/>
      <c r="H28" s="33"/>
      <c r="I28" s="33"/>
      <c r="J28" s="29"/>
    </row>
    <row r="29" ht="38.25" spans="1:10">
      <c r="A29" s="29"/>
      <c r="B29" s="31"/>
      <c r="C29" s="31"/>
      <c r="D29" s="30"/>
      <c r="E29" s="31" t="s">
        <v>517</v>
      </c>
      <c r="F29" s="29"/>
      <c r="G29" s="30"/>
      <c r="H29" s="33"/>
      <c r="I29" s="33"/>
      <c r="J29" s="29"/>
    </row>
    <row r="30" ht="51" spans="1:10">
      <c r="A30" s="29"/>
      <c r="B30" s="31"/>
      <c r="C30" s="31"/>
      <c r="D30" s="30"/>
      <c r="E30" s="31" t="s">
        <v>518</v>
      </c>
      <c r="F30" s="29"/>
      <c r="G30" s="30"/>
      <c r="H30" s="33"/>
      <c r="I30" s="33"/>
      <c r="J30" s="29"/>
    </row>
    <row r="31" ht="28" customHeight="1" spans="1:10">
      <c r="A31" s="35" t="s">
        <v>173</v>
      </c>
      <c r="B31" s="35"/>
      <c r="C31" s="35"/>
      <c r="D31" s="35"/>
      <c r="E31" s="35"/>
      <c r="F31" s="35"/>
      <c r="G31" s="35"/>
      <c r="H31" s="35"/>
      <c r="I31" s="36">
        <f>SUM(I5:I30)</f>
        <v>33650</v>
      </c>
      <c r="J31" s="36"/>
    </row>
  </sheetData>
  <mergeCells count="69">
    <mergeCell ref="A1:D1"/>
    <mergeCell ref="E1:G1"/>
    <mergeCell ref="A31:H31"/>
    <mergeCell ref="A3:A4"/>
    <mergeCell ref="A5:A6"/>
    <mergeCell ref="A7:A8"/>
    <mergeCell ref="A9:A11"/>
    <mergeCell ref="A15:A16"/>
    <mergeCell ref="A17:A19"/>
    <mergeCell ref="A20:A21"/>
    <mergeCell ref="A25:A26"/>
    <mergeCell ref="A27:A30"/>
    <mergeCell ref="B5:B26"/>
    <mergeCell ref="B27:B30"/>
    <mergeCell ref="C5:C6"/>
    <mergeCell ref="C7:C8"/>
    <mergeCell ref="C9:C11"/>
    <mergeCell ref="C15:C16"/>
    <mergeCell ref="C17:C19"/>
    <mergeCell ref="C20:C21"/>
    <mergeCell ref="C25:C26"/>
    <mergeCell ref="C27:C30"/>
    <mergeCell ref="D3:D4"/>
    <mergeCell ref="D15:D16"/>
    <mergeCell ref="D17:D19"/>
    <mergeCell ref="D20:D21"/>
    <mergeCell ref="D25:D26"/>
    <mergeCell ref="D27:D30"/>
    <mergeCell ref="E3:E4"/>
    <mergeCell ref="E5:E6"/>
    <mergeCell ref="E7:E8"/>
    <mergeCell ref="E9:E11"/>
    <mergeCell ref="F3:F4"/>
    <mergeCell ref="F9:F10"/>
    <mergeCell ref="F15:F16"/>
    <mergeCell ref="F17:F19"/>
    <mergeCell ref="F20:F21"/>
    <mergeCell ref="F25:F26"/>
    <mergeCell ref="F27:F30"/>
    <mergeCell ref="G3:G4"/>
    <mergeCell ref="G5:G6"/>
    <mergeCell ref="G7:G8"/>
    <mergeCell ref="G9:G11"/>
    <mergeCell ref="G15:G16"/>
    <mergeCell ref="G17:G19"/>
    <mergeCell ref="G20:G21"/>
    <mergeCell ref="G25:G26"/>
    <mergeCell ref="G27:G30"/>
    <mergeCell ref="H9:H10"/>
    <mergeCell ref="H15:H16"/>
    <mergeCell ref="H17:H19"/>
    <mergeCell ref="H20:H21"/>
    <mergeCell ref="H25:H26"/>
    <mergeCell ref="H27:H30"/>
    <mergeCell ref="I9:I10"/>
    <mergeCell ref="I15:I16"/>
    <mergeCell ref="I17:I19"/>
    <mergeCell ref="I20:I21"/>
    <mergeCell ref="I25:I26"/>
    <mergeCell ref="I27:I30"/>
    <mergeCell ref="J3:J4"/>
    <mergeCell ref="J5:J6"/>
    <mergeCell ref="J7:J8"/>
    <mergeCell ref="J9:J11"/>
    <mergeCell ref="J15:J16"/>
    <mergeCell ref="J17:J21"/>
    <mergeCell ref="J25:J26"/>
    <mergeCell ref="J27:J30"/>
    <mergeCell ref="B3:C4"/>
  </mergeCells>
  <pageMargins left="0.75" right="0.75" top="1" bottom="1" header="0.5" footer="0.5"/>
  <pageSetup paperSize="9" scale="75" fitToHeight="0"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selection activeCell="G2" sqref="G$1:G$1048576"/>
    </sheetView>
  </sheetViews>
  <sheetFormatPr defaultColWidth="9" defaultRowHeight="13.5" outlineLevelCol="7"/>
  <cols>
    <col min="1" max="1" width="7.75" customWidth="1"/>
    <col min="2" max="2" width="16.875" customWidth="1"/>
    <col min="3" max="3" width="39.5" customWidth="1"/>
    <col min="7" max="7" width="9" style="9"/>
  </cols>
  <sheetData>
    <row r="1" ht="19.5" spans="1:8">
      <c r="A1" s="10" t="s">
        <v>519</v>
      </c>
      <c r="B1" s="10"/>
      <c r="C1" s="10"/>
      <c r="D1" s="10"/>
      <c r="E1" s="10"/>
      <c r="F1" s="10"/>
      <c r="G1" s="11"/>
      <c r="H1" s="10"/>
    </row>
    <row r="2" spans="1:8">
      <c r="A2" s="12" t="s">
        <v>520</v>
      </c>
      <c r="B2" s="13"/>
      <c r="C2" s="13"/>
      <c r="D2" s="13"/>
      <c r="E2" s="13"/>
      <c r="F2" s="13"/>
      <c r="G2" s="14"/>
      <c r="H2" s="15" t="s">
        <v>521</v>
      </c>
    </row>
    <row r="3" ht="24" spans="1:8">
      <c r="A3" s="16" t="s">
        <v>8</v>
      </c>
      <c r="B3" s="16" t="s">
        <v>227</v>
      </c>
      <c r="C3" s="16" t="s">
        <v>522</v>
      </c>
      <c r="D3" s="16" t="s">
        <v>229</v>
      </c>
      <c r="E3" s="16" t="s">
        <v>230</v>
      </c>
      <c r="F3" s="16" t="s">
        <v>523</v>
      </c>
      <c r="G3" s="17" t="s">
        <v>232</v>
      </c>
      <c r="H3" s="16" t="s">
        <v>13</v>
      </c>
    </row>
    <row r="4" ht="48" spans="1:8">
      <c r="A4" s="16">
        <v>1</v>
      </c>
      <c r="B4" s="16" t="s">
        <v>524</v>
      </c>
      <c r="C4" s="18" t="s">
        <v>525</v>
      </c>
      <c r="D4" s="16" t="s">
        <v>374</v>
      </c>
      <c r="E4" s="19">
        <v>0.4</v>
      </c>
      <c r="F4" s="19">
        <v>1562.368</v>
      </c>
      <c r="G4" s="20">
        <f>F4*E4</f>
        <v>624.9472</v>
      </c>
      <c r="H4" s="16" t="s">
        <v>181</v>
      </c>
    </row>
    <row r="5" ht="24" spans="1:8">
      <c r="A5" s="16">
        <v>2</v>
      </c>
      <c r="B5" s="16" t="s">
        <v>526</v>
      </c>
      <c r="C5" s="18" t="s">
        <v>527</v>
      </c>
      <c r="D5" s="16" t="s">
        <v>374</v>
      </c>
      <c r="E5" s="19">
        <v>0.4</v>
      </c>
      <c r="F5" s="19">
        <v>568.816</v>
      </c>
      <c r="G5" s="20">
        <f>F5*E5</f>
        <v>227.5264</v>
      </c>
      <c r="H5" s="16" t="s">
        <v>181</v>
      </c>
    </row>
    <row r="6" ht="24" spans="1:8">
      <c r="A6" s="16">
        <v>3</v>
      </c>
      <c r="B6" s="16" t="s">
        <v>528</v>
      </c>
      <c r="C6" s="18" t="s">
        <v>527</v>
      </c>
      <c r="D6" s="16" t="s">
        <v>374</v>
      </c>
      <c r="E6" s="19">
        <v>0.4</v>
      </c>
      <c r="F6" s="19">
        <v>2972.336</v>
      </c>
      <c r="G6" s="20">
        <f>F6*E6</f>
        <v>1188.9344</v>
      </c>
      <c r="H6" s="16" t="s">
        <v>181</v>
      </c>
    </row>
    <row r="7" ht="36" spans="1:8">
      <c r="A7" s="16">
        <v>4</v>
      </c>
      <c r="B7" s="16" t="s">
        <v>529</v>
      </c>
      <c r="C7" s="18" t="s">
        <v>530</v>
      </c>
      <c r="D7" s="16" t="s">
        <v>462</v>
      </c>
      <c r="E7" s="19">
        <v>12</v>
      </c>
      <c r="F7" s="19">
        <v>418.488</v>
      </c>
      <c r="G7" s="20">
        <f>F7*E7</f>
        <v>5021.856</v>
      </c>
      <c r="H7" s="16" t="s">
        <v>181</v>
      </c>
    </row>
    <row r="8" spans="1:8">
      <c r="A8" s="16" t="s">
        <v>181</v>
      </c>
      <c r="B8" s="16" t="s">
        <v>181</v>
      </c>
      <c r="C8" s="16" t="s">
        <v>181</v>
      </c>
      <c r="D8" s="16" t="s">
        <v>181</v>
      </c>
      <c r="E8" s="21"/>
      <c r="F8" s="21"/>
      <c r="G8" s="20"/>
      <c r="H8" s="16" t="s">
        <v>181</v>
      </c>
    </row>
    <row r="9" spans="1:8">
      <c r="A9" s="16" t="s">
        <v>173</v>
      </c>
      <c r="B9" s="16"/>
      <c r="C9" s="16"/>
      <c r="D9" s="16"/>
      <c r="E9" s="16"/>
      <c r="F9" s="16"/>
      <c r="G9" s="20">
        <f>SUM(G4:G8)</f>
        <v>7063.264</v>
      </c>
      <c r="H9" s="16" t="s">
        <v>181</v>
      </c>
    </row>
  </sheetData>
  <mergeCells count="2">
    <mergeCell ref="A1:H1"/>
    <mergeCell ref="A9:F9"/>
  </mergeCells>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pageSetUpPr fitToPage="1"/>
  </sheetPr>
  <dimension ref="A1:L34"/>
  <sheetViews>
    <sheetView workbookViewId="0">
      <selection activeCell="H6" sqref="H6"/>
    </sheetView>
  </sheetViews>
  <sheetFormatPr defaultColWidth="7.875" defaultRowHeight="15"/>
  <cols>
    <col min="1" max="1" width="9.625" style="1" customWidth="1"/>
    <col min="2" max="2" width="30.5" style="1" customWidth="1"/>
    <col min="3" max="4" width="9.625" style="1" customWidth="1"/>
    <col min="5" max="5" width="8.75833333333333" style="1" customWidth="1"/>
    <col min="6" max="9" width="11.875" style="1" customWidth="1"/>
    <col min="10" max="10" width="12.625" style="1" customWidth="1"/>
    <col min="11" max="11" width="9.25833333333333" style="1"/>
    <col min="12" max="12" width="10.125" style="1"/>
    <col min="13" max="13" width="10.2583333333333" style="1"/>
    <col min="14" max="16384" width="7.875" style="1"/>
  </cols>
  <sheetData>
    <row r="1" s="1" customFormat="1" ht="36" customHeight="1" spans="1:10">
      <c r="A1" s="2" t="s">
        <v>531</v>
      </c>
      <c r="B1" s="2"/>
      <c r="C1" s="2"/>
      <c r="D1" s="2"/>
      <c r="E1" s="2"/>
      <c r="F1" s="2"/>
      <c r="G1" s="2"/>
      <c r="H1" s="2"/>
      <c r="I1" s="2"/>
      <c r="J1" s="2"/>
    </row>
    <row r="2" s="1" customFormat="1" ht="12" customHeight="1" spans="1:10">
      <c r="J2" s="4" t="s">
        <v>532</v>
      </c>
    </row>
    <row r="3" s="1" customFormat="1" ht="18" customHeight="1" spans="1:10">
      <c r="A3" s="5" t="s">
        <v>533</v>
      </c>
      <c r="B3" s="5" t="s">
        <v>534</v>
      </c>
      <c r="C3" s="5" t="s">
        <v>168</v>
      </c>
      <c r="D3" s="5" t="s">
        <v>535</v>
      </c>
      <c r="E3" s="5" t="s">
        <v>536</v>
      </c>
      <c r="F3" s="5" t="s">
        <v>537</v>
      </c>
      <c r="G3" s="5"/>
      <c r="H3" s="5" t="s">
        <v>538</v>
      </c>
      <c r="I3" s="5"/>
      <c r="J3" s="5"/>
    </row>
    <row r="4" s="1" customFormat="1" ht="18" customHeight="1" spans="1:10">
      <c r="A4" s="5"/>
      <c r="B4" s="5"/>
      <c r="C4" s="5"/>
      <c r="D4" s="5"/>
      <c r="E4" s="5"/>
      <c r="F4" s="5" t="s">
        <v>539</v>
      </c>
      <c r="G4" s="5" t="s">
        <v>540</v>
      </c>
      <c r="H4" s="5" t="s">
        <v>539</v>
      </c>
      <c r="I4" s="5" t="s">
        <v>540</v>
      </c>
      <c r="J4" s="5" t="s">
        <v>214</v>
      </c>
    </row>
    <row r="5" s="1" customFormat="1" ht="18" customHeight="1" spans="1:10">
      <c r="A5" s="6" t="s">
        <v>354</v>
      </c>
      <c r="B5" s="6" t="s">
        <v>541</v>
      </c>
      <c r="C5" s="5" t="s">
        <v>181</v>
      </c>
      <c r="D5" s="7"/>
      <c r="E5" s="7"/>
      <c r="F5" s="7"/>
      <c r="G5" s="7"/>
      <c r="H5" s="7"/>
      <c r="I5" s="7"/>
      <c r="J5" s="7"/>
    </row>
    <row r="6" s="1" customFormat="1" ht="18" customHeight="1" spans="1:10">
      <c r="A6" s="6" t="s">
        <v>181</v>
      </c>
      <c r="B6" s="6" t="s">
        <v>542</v>
      </c>
      <c r="C6" s="5" t="s">
        <v>182</v>
      </c>
      <c r="D6" s="7">
        <v>8.498</v>
      </c>
      <c r="E6" s="7">
        <v>0.5</v>
      </c>
      <c r="F6" s="7">
        <v>4634.6</v>
      </c>
      <c r="G6" s="7">
        <v>4643.81</v>
      </c>
      <c r="H6" s="7">
        <v>39582</v>
      </c>
      <c r="I6" s="7">
        <v>39660</v>
      </c>
      <c r="J6" s="7">
        <v>79</v>
      </c>
    </row>
    <row r="7" s="1" customFormat="1" ht="30.6" customHeight="1" spans="1:10">
      <c r="A7" s="6" t="s">
        <v>181</v>
      </c>
      <c r="B7" s="6" t="s">
        <v>543</v>
      </c>
      <c r="C7" s="5" t="s">
        <v>200</v>
      </c>
      <c r="D7" s="7">
        <v>300</v>
      </c>
      <c r="E7" s="7">
        <v>2.5</v>
      </c>
      <c r="F7" s="7">
        <v>80</v>
      </c>
      <c r="G7" s="7">
        <v>89.32</v>
      </c>
      <c r="H7" s="7">
        <v>24600</v>
      </c>
      <c r="I7" s="7">
        <v>27466</v>
      </c>
      <c r="J7" s="7">
        <v>2866</v>
      </c>
    </row>
    <row r="8" s="1" customFormat="1" ht="30.6" customHeight="1" spans="1:10">
      <c r="A8" s="6" t="s">
        <v>181</v>
      </c>
      <c r="B8" s="6" t="s">
        <v>544</v>
      </c>
      <c r="C8" s="5" t="s">
        <v>182</v>
      </c>
      <c r="D8" s="7">
        <v>0.011</v>
      </c>
      <c r="E8" s="7">
        <v>6.5</v>
      </c>
      <c r="F8" s="7">
        <v>5496</v>
      </c>
      <c r="G8" s="7">
        <v>3867.26</v>
      </c>
      <c r="H8" s="7">
        <v>64</v>
      </c>
      <c r="I8" s="7">
        <v>45</v>
      </c>
      <c r="J8" s="7">
        <v>-19</v>
      </c>
    </row>
    <row r="9" s="1" customFormat="1" ht="30.6" customHeight="1" spans="1:10">
      <c r="A9" s="6" t="s">
        <v>181</v>
      </c>
      <c r="B9" s="6" t="s">
        <v>545</v>
      </c>
      <c r="C9" s="5" t="s">
        <v>182</v>
      </c>
      <c r="D9" s="7">
        <v>0.186</v>
      </c>
      <c r="E9" s="7">
        <v>6</v>
      </c>
      <c r="F9" s="7">
        <v>3959</v>
      </c>
      <c r="G9" s="7">
        <v>3946.9</v>
      </c>
      <c r="H9" s="7">
        <v>781</v>
      </c>
      <c r="I9" s="7">
        <v>778</v>
      </c>
      <c r="J9" s="7">
        <v>-2</v>
      </c>
    </row>
    <row r="10" s="1" customFormat="1" ht="30.6" customHeight="1" spans="1:10">
      <c r="A10" s="6" t="s">
        <v>181</v>
      </c>
      <c r="B10" s="6" t="s">
        <v>546</v>
      </c>
      <c r="C10" s="5" t="s">
        <v>182</v>
      </c>
      <c r="D10" s="7">
        <v>4.164</v>
      </c>
      <c r="E10" s="7">
        <v>6</v>
      </c>
      <c r="F10" s="7">
        <v>3959</v>
      </c>
      <c r="G10" s="7">
        <v>3946.9</v>
      </c>
      <c r="H10" s="7">
        <v>17474</v>
      </c>
      <c r="I10" s="7">
        <v>17421</v>
      </c>
      <c r="J10" s="7">
        <v>-53</v>
      </c>
    </row>
    <row r="11" s="1" customFormat="1" ht="18" customHeight="1" spans="1:10">
      <c r="A11" s="6" t="s">
        <v>181</v>
      </c>
      <c r="B11" s="6" t="s">
        <v>547</v>
      </c>
      <c r="C11" s="5" t="s">
        <v>182</v>
      </c>
      <c r="D11" s="7">
        <v>15.872</v>
      </c>
      <c r="E11" s="7">
        <v>6.5</v>
      </c>
      <c r="F11" s="7">
        <v>3959</v>
      </c>
      <c r="G11" s="7">
        <v>3946.9</v>
      </c>
      <c r="H11" s="7">
        <v>66922</v>
      </c>
      <c r="I11" s="7">
        <v>66717</v>
      </c>
      <c r="J11" s="7">
        <v>-205</v>
      </c>
    </row>
    <row r="12" s="1" customFormat="1" ht="18" customHeight="1" spans="1:10">
      <c r="A12" s="6" t="s">
        <v>181</v>
      </c>
      <c r="B12" s="6" t="s">
        <v>548</v>
      </c>
      <c r="C12" s="5" t="s">
        <v>182</v>
      </c>
      <c r="D12" s="7">
        <v>0.869</v>
      </c>
      <c r="E12" s="7">
        <v>6.5</v>
      </c>
      <c r="F12" s="7">
        <v>3959</v>
      </c>
      <c r="G12" s="7">
        <v>3946.9</v>
      </c>
      <c r="H12" s="7">
        <v>3664</v>
      </c>
      <c r="I12" s="7">
        <v>3653</v>
      </c>
      <c r="J12" s="7">
        <v>-11</v>
      </c>
    </row>
    <row r="13" s="1" customFormat="1" ht="18" customHeight="1" spans="1:10">
      <c r="A13" s="6" t="s">
        <v>181</v>
      </c>
      <c r="B13" s="6" t="s">
        <v>549</v>
      </c>
      <c r="C13" s="5" t="s">
        <v>182</v>
      </c>
      <c r="D13" s="7">
        <v>11.725</v>
      </c>
      <c r="E13" s="7">
        <v>6.5</v>
      </c>
      <c r="F13" s="7">
        <v>3959</v>
      </c>
      <c r="G13" s="7">
        <v>3997.35</v>
      </c>
      <c r="H13" s="7">
        <v>49437</v>
      </c>
      <c r="I13" s="7">
        <v>49915</v>
      </c>
      <c r="J13" s="7">
        <v>479</v>
      </c>
    </row>
    <row r="14" s="1" customFormat="1" ht="18" customHeight="1" spans="1:10">
      <c r="A14" s="6" t="s">
        <v>181</v>
      </c>
      <c r="B14" s="6" t="s">
        <v>550</v>
      </c>
      <c r="C14" s="5" t="s">
        <v>182</v>
      </c>
      <c r="D14" s="7">
        <v>95.931</v>
      </c>
      <c r="E14" s="7">
        <v>6.5</v>
      </c>
      <c r="F14" s="7">
        <v>3959</v>
      </c>
      <c r="G14" s="7">
        <v>3715.04</v>
      </c>
      <c r="H14" s="7">
        <v>404477</v>
      </c>
      <c r="I14" s="7">
        <v>379553</v>
      </c>
      <c r="J14" s="7">
        <v>-24925</v>
      </c>
    </row>
    <row r="15" s="1" customFormat="1" ht="18" customHeight="1" spans="1:10">
      <c r="A15" s="6" t="s">
        <v>181</v>
      </c>
      <c r="B15" s="6" t="s">
        <v>551</v>
      </c>
      <c r="C15" s="5" t="s">
        <v>182</v>
      </c>
      <c r="D15" s="7">
        <v>0.245</v>
      </c>
      <c r="E15" s="7">
        <v>3</v>
      </c>
      <c r="F15" s="7">
        <v>5824</v>
      </c>
      <c r="G15" s="7">
        <v>4345</v>
      </c>
      <c r="H15" s="7">
        <v>1470</v>
      </c>
      <c r="I15" s="7">
        <v>1096</v>
      </c>
      <c r="J15" s="7">
        <v>-373</v>
      </c>
    </row>
    <row r="16" s="1" customFormat="1" ht="18" customHeight="1" spans="1:10">
      <c r="A16" s="6" t="s">
        <v>181</v>
      </c>
      <c r="B16" s="6" t="s">
        <v>552</v>
      </c>
      <c r="C16" s="5" t="s">
        <v>374</v>
      </c>
      <c r="D16" s="7">
        <v>8.5</v>
      </c>
      <c r="E16" s="7"/>
      <c r="F16" s="7">
        <v>9500</v>
      </c>
      <c r="G16" s="7">
        <v>12840</v>
      </c>
      <c r="H16" s="7">
        <v>80750</v>
      </c>
      <c r="I16" s="7">
        <v>109140</v>
      </c>
      <c r="J16" s="7">
        <v>28390</v>
      </c>
    </row>
    <row r="17" s="1" customFormat="1" ht="18" customHeight="1" spans="1:12">
      <c r="A17" s="6" t="s">
        <v>181</v>
      </c>
      <c r="B17" s="6" t="s">
        <v>553</v>
      </c>
      <c r="C17" s="5" t="s">
        <v>182</v>
      </c>
      <c r="D17" s="7">
        <v>239.645</v>
      </c>
      <c r="E17" s="7">
        <v>0.5</v>
      </c>
      <c r="F17" s="7">
        <v>5811.97</v>
      </c>
      <c r="G17" s="7">
        <v>7000</v>
      </c>
      <c r="H17" s="7">
        <v>1399774</v>
      </c>
      <c r="I17" s="7">
        <v>1685903</v>
      </c>
      <c r="J17" s="7">
        <v>286129</v>
      </c>
      <c r="K17" s="1">
        <f>G17*1.13</f>
        <v>7910</v>
      </c>
      <c r="L17" s="1">
        <f>I17*1.13</f>
        <v>1905070.39</v>
      </c>
    </row>
    <row r="18" s="1" customFormat="1" ht="18" customHeight="1" spans="1:12">
      <c r="A18" s="6" t="s">
        <v>181</v>
      </c>
      <c r="B18" s="6" t="s">
        <v>554</v>
      </c>
      <c r="C18" s="5" t="s">
        <v>182</v>
      </c>
      <c r="D18" s="7">
        <v>20.273</v>
      </c>
      <c r="E18" s="7">
        <v>0.46</v>
      </c>
      <c r="F18" s="7">
        <v>11681</v>
      </c>
      <c r="G18" s="7">
        <v>16800</v>
      </c>
      <c r="H18" s="7">
        <v>237898</v>
      </c>
      <c r="I18" s="7">
        <v>342153</v>
      </c>
      <c r="J18" s="7">
        <v>104255</v>
      </c>
      <c r="K18" s="1">
        <f>G18*1.13</f>
        <v>18984</v>
      </c>
      <c r="L18" s="1">
        <f>I18*1.13</f>
        <v>386632.89</v>
      </c>
    </row>
    <row r="19" s="1" customFormat="1" ht="18" customHeight="1" spans="1:12">
      <c r="A19" s="6" t="s">
        <v>181</v>
      </c>
      <c r="B19" s="6" t="s">
        <v>555</v>
      </c>
      <c r="C19" s="5" t="s">
        <v>182</v>
      </c>
      <c r="D19" s="7">
        <v>3.466</v>
      </c>
      <c r="E19" s="7">
        <v>0.3</v>
      </c>
      <c r="F19" s="7">
        <v>12556</v>
      </c>
      <c r="G19" s="7">
        <v>12000</v>
      </c>
      <c r="H19" s="7">
        <v>43650</v>
      </c>
      <c r="I19" s="7">
        <v>41717</v>
      </c>
      <c r="J19" s="7">
        <v>-1933</v>
      </c>
    </row>
    <row r="20" s="1" customFormat="1" ht="18" customHeight="1" spans="1:12">
      <c r="A20" s="6" t="s">
        <v>181</v>
      </c>
      <c r="B20" s="6" t="s">
        <v>556</v>
      </c>
      <c r="C20" s="5" t="s">
        <v>200</v>
      </c>
      <c r="D20" s="7">
        <v>456.072</v>
      </c>
      <c r="E20" s="7"/>
      <c r="F20" s="7"/>
      <c r="G20" s="7"/>
      <c r="H20" s="7"/>
      <c r="I20" s="7"/>
      <c r="J20" s="7"/>
    </row>
    <row r="21" s="1" customFormat="1" ht="18" customHeight="1" spans="1:12">
      <c r="A21" s="6" t="s">
        <v>181</v>
      </c>
      <c r="B21" s="6" t="s">
        <v>557</v>
      </c>
      <c r="C21" s="5" t="s">
        <v>182</v>
      </c>
      <c r="D21" s="7">
        <v>131.349</v>
      </c>
      <c r="E21" s="7">
        <v>5.6</v>
      </c>
      <c r="F21" s="7">
        <v>396</v>
      </c>
      <c r="G21" s="7">
        <v>458.41</v>
      </c>
      <c r="H21" s="7">
        <v>54927</v>
      </c>
      <c r="I21" s="7">
        <v>63584</v>
      </c>
      <c r="J21" s="7">
        <v>8657</v>
      </c>
    </row>
    <row r="22" s="1" customFormat="1" ht="18" customHeight="1" spans="1:12">
      <c r="A22" s="6" t="s">
        <v>181</v>
      </c>
      <c r="B22" s="6" t="s">
        <v>558</v>
      </c>
      <c r="C22" s="5" t="s">
        <v>200</v>
      </c>
      <c r="D22" s="7">
        <v>232.141</v>
      </c>
      <c r="E22" s="7">
        <v>15.9</v>
      </c>
      <c r="F22" s="7">
        <v>65</v>
      </c>
      <c r="G22" s="7">
        <v>213.59</v>
      </c>
      <c r="H22" s="7">
        <v>17488</v>
      </c>
      <c r="I22" s="7">
        <v>57467</v>
      </c>
      <c r="J22" s="7">
        <v>39978</v>
      </c>
    </row>
    <row r="23" s="1" customFormat="1" ht="18" customHeight="1" spans="1:12">
      <c r="A23" s="6" t="s">
        <v>181</v>
      </c>
      <c r="B23" s="6" t="s">
        <v>559</v>
      </c>
      <c r="C23" s="5" t="s">
        <v>200</v>
      </c>
      <c r="D23" s="7">
        <v>398.151</v>
      </c>
      <c r="E23" s="7">
        <v>11.5</v>
      </c>
      <c r="F23" s="7">
        <v>80</v>
      </c>
      <c r="G23" s="7">
        <v>117.48</v>
      </c>
      <c r="H23" s="7">
        <v>35515</v>
      </c>
      <c r="I23" s="7">
        <v>52154</v>
      </c>
      <c r="J23" s="7">
        <v>16639</v>
      </c>
    </row>
    <row r="24" s="1" customFormat="1" ht="18" customHeight="1" spans="1:12">
      <c r="A24" s="6" t="s">
        <v>181</v>
      </c>
      <c r="B24" s="6" t="s">
        <v>560</v>
      </c>
      <c r="C24" s="5" t="s">
        <v>200</v>
      </c>
      <c r="D24" s="7">
        <v>1705.808</v>
      </c>
      <c r="E24" s="7"/>
      <c r="F24" s="7"/>
      <c r="G24" s="7"/>
      <c r="H24" s="7"/>
      <c r="I24" s="7"/>
      <c r="J24" s="7"/>
    </row>
    <row r="25" s="1" customFormat="1" ht="18" customHeight="1" spans="1:12">
      <c r="A25" s="6" t="s">
        <v>181</v>
      </c>
      <c r="B25" s="6" t="s">
        <v>557</v>
      </c>
      <c r="C25" s="5" t="s">
        <v>182</v>
      </c>
      <c r="D25" s="7">
        <v>614.091</v>
      </c>
      <c r="E25" s="7">
        <v>5.6</v>
      </c>
      <c r="F25" s="7">
        <v>396</v>
      </c>
      <c r="G25" s="7">
        <v>458.41</v>
      </c>
      <c r="H25" s="7">
        <v>256798</v>
      </c>
      <c r="I25" s="7">
        <v>297270</v>
      </c>
      <c r="J25" s="7">
        <v>40472</v>
      </c>
    </row>
    <row r="26" s="1" customFormat="1" ht="18" customHeight="1" spans="1:12">
      <c r="A26" s="6" t="s">
        <v>181</v>
      </c>
      <c r="B26" s="6" t="s">
        <v>558</v>
      </c>
      <c r="C26" s="5" t="s">
        <v>200</v>
      </c>
      <c r="D26" s="7">
        <v>762.496</v>
      </c>
      <c r="E26" s="7">
        <v>15.9</v>
      </c>
      <c r="F26" s="7">
        <v>65</v>
      </c>
      <c r="G26" s="7">
        <v>213.59</v>
      </c>
      <c r="H26" s="7">
        <v>57443</v>
      </c>
      <c r="I26" s="7">
        <v>188757</v>
      </c>
      <c r="J26" s="7">
        <v>131314</v>
      </c>
    </row>
    <row r="27" s="1" customFormat="1" ht="18" customHeight="1" spans="1:12">
      <c r="A27" s="6" t="s">
        <v>181</v>
      </c>
      <c r="B27" s="6" t="s">
        <v>559</v>
      </c>
      <c r="C27" s="5" t="s">
        <v>200</v>
      </c>
      <c r="D27" s="7">
        <v>1579.579</v>
      </c>
      <c r="E27" s="7">
        <v>11.5</v>
      </c>
      <c r="F27" s="7">
        <v>80</v>
      </c>
      <c r="G27" s="7">
        <v>117.48</v>
      </c>
      <c r="H27" s="7">
        <v>140898</v>
      </c>
      <c r="I27" s="7">
        <v>206909</v>
      </c>
      <c r="J27" s="7">
        <v>66011</v>
      </c>
    </row>
    <row r="28" s="1" customFormat="1" ht="18" customHeight="1" spans="1:12">
      <c r="A28" s="6" t="s">
        <v>181</v>
      </c>
      <c r="B28" s="6" t="s">
        <v>561</v>
      </c>
      <c r="C28" s="5" t="s">
        <v>200</v>
      </c>
      <c r="D28" s="7">
        <v>60</v>
      </c>
      <c r="E28" s="7"/>
      <c r="F28" s="7"/>
      <c r="G28" s="7"/>
      <c r="H28" s="7"/>
      <c r="I28" s="7"/>
      <c r="J28" s="7"/>
    </row>
    <row r="29" s="1" customFormat="1" ht="18" customHeight="1" spans="1:12">
      <c r="A29" s="6" t="s">
        <v>181</v>
      </c>
      <c r="B29" s="6" t="s">
        <v>557</v>
      </c>
      <c r="C29" s="5" t="s">
        <v>182</v>
      </c>
      <c r="D29" s="7">
        <v>16.08</v>
      </c>
      <c r="E29" s="7">
        <v>5.6</v>
      </c>
      <c r="F29" s="7">
        <v>396</v>
      </c>
      <c r="G29" s="7">
        <v>458.41</v>
      </c>
      <c r="H29" s="7">
        <v>6724</v>
      </c>
      <c r="I29" s="7">
        <v>7784</v>
      </c>
      <c r="J29" s="7">
        <v>1060</v>
      </c>
    </row>
    <row r="30" s="1" customFormat="1" ht="18" customHeight="1" spans="1:12">
      <c r="A30" s="6" t="s">
        <v>181</v>
      </c>
      <c r="B30" s="6" t="s">
        <v>558</v>
      </c>
      <c r="C30" s="5" t="s">
        <v>200</v>
      </c>
      <c r="D30" s="7">
        <v>70.8</v>
      </c>
      <c r="E30" s="7">
        <v>15.9</v>
      </c>
      <c r="F30" s="7">
        <v>65</v>
      </c>
      <c r="G30" s="7">
        <v>213.59</v>
      </c>
      <c r="H30" s="7">
        <v>5334</v>
      </c>
      <c r="I30" s="7">
        <v>17527</v>
      </c>
      <c r="J30" s="7">
        <v>12193</v>
      </c>
    </row>
    <row r="31" s="1" customFormat="1" ht="18" customHeight="1" spans="1:12">
      <c r="A31" s="6" t="s">
        <v>181</v>
      </c>
      <c r="B31" s="6" t="s">
        <v>181</v>
      </c>
      <c r="C31" s="5" t="s">
        <v>181</v>
      </c>
      <c r="D31" s="7"/>
      <c r="E31" s="7"/>
      <c r="F31" s="7"/>
      <c r="G31" s="7"/>
      <c r="H31" s="7"/>
      <c r="I31" s="7"/>
      <c r="J31" s="7"/>
    </row>
    <row r="32" s="1" customFormat="1" spans="1:12">
      <c r="A32" s="6" t="s">
        <v>181</v>
      </c>
      <c r="B32" s="6" t="s">
        <v>562</v>
      </c>
      <c r="C32" s="5" t="s">
        <v>181</v>
      </c>
      <c r="D32" s="7"/>
      <c r="E32" s="7"/>
      <c r="F32" s="7"/>
      <c r="G32" s="7"/>
      <c r="H32" s="7">
        <v>2945669</v>
      </c>
      <c r="I32" s="7">
        <v>3656668</v>
      </c>
      <c r="J32" s="7">
        <v>710999</v>
      </c>
    </row>
    <row r="33" s="1" customFormat="1" spans="1:10">
      <c r="A33" s="6" t="s">
        <v>181</v>
      </c>
      <c r="B33" s="6" t="s">
        <v>181</v>
      </c>
      <c r="C33" s="5" t="s">
        <v>181</v>
      </c>
      <c r="D33" s="7"/>
      <c r="E33" s="7"/>
      <c r="F33" s="7"/>
      <c r="G33" s="7"/>
      <c r="H33" s="7"/>
      <c r="I33" s="7"/>
      <c r="J33" s="7"/>
    </row>
    <row r="34" s="1" customFormat="1" spans="1:10">
      <c r="A34" s="6" t="s">
        <v>181</v>
      </c>
      <c r="B34" s="6" t="s">
        <v>403</v>
      </c>
      <c r="C34" s="5" t="s">
        <v>181</v>
      </c>
      <c r="D34" s="7"/>
      <c r="E34" s="7"/>
      <c r="F34" s="7"/>
      <c r="G34" s="7"/>
      <c r="H34" s="7">
        <v>2945669</v>
      </c>
      <c r="I34" s="7">
        <v>3656668</v>
      </c>
      <c r="J34" s="7">
        <v>710999</v>
      </c>
    </row>
  </sheetData>
  <mergeCells count="8">
    <mergeCell ref="A1:J1"/>
    <mergeCell ref="F3:G3"/>
    <mergeCell ref="H3:J3"/>
    <mergeCell ref="A3:A4"/>
    <mergeCell ref="B3:B4"/>
    <mergeCell ref="C3:C4"/>
    <mergeCell ref="D3:D4"/>
    <mergeCell ref="E3:E4"/>
  </mergeCells>
  <pageMargins left="0.499305555555556" right="0.499305555555556" top="0.499305555555556" bottom="0.499305555555556" header="0.343055555555556" footer="0.343055555555556"/>
  <pageSetup paperSize="9" scale="95" fitToHeight="0" orientation="landscape"/>
  <headerFooter>
    <oddHeader>&amp;L&amp;"宋体,常规"&amp;11&amp;C&amp;"宋体,常规"&amp;11&amp;R&amp;"宋体,常规"&amp;11</oddHeader>
    <oddFooter>&amp;L&amp;"宋体,常规"&amp;11 220kV沙赛线64#-80#改迁工程&amp;C&amp;"宋体,常规"&amp;11第  &amp;P  页&amp;R&amp;"宋体,常规"&amp;11九江电力勘察设计院有限公司</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pageSetUpPr fitToPage="1"/>
  </sheetPr>
  <dimension ref="A1:T43"/>
  <sheetViews>
    <sheetView workbookViewId="0">
      <pane ySplit="3" topLeftCell="A4" activePane="bottomLeft" state="frozen"/>
      <selection/>
      <selection pane="bottomLeft" activeCell="E4" sqref="E4"/>
    </sheetView>
  </sheetViews>
  <sheetFormatPr defaultColWidth="7.875" defaultRowHeight="15"/>
  <cols>
    <col min="1" max="1" width="5.125" style="1" customWidth="1"/>
    <col min="2" max="2" width="19.2583333333333" style="1" customWidth="1"/>
    <col min="3" max="3" width="17.7583333333333" style="1" customWidth="1"/>
    <col min="4" max="4" width="5.625" style="1" customWidth="1"/>
    <col min="5" max="10" width="8.625" style="1" customWidth="1"/>
    <col min="11" max="11" width="9.625" style="1" customWidth="1"/>
    <col min="12" max="12" width="7.625" style="1" customWidth="1"/>
    <col min="13" max="13" width="9.125" style="1" customWidth="1"/>
    <col min="14" max="14" width="7.875" style="1"/>
    <col min="15" max="15" width="10.875" style="1" customWidth="1"/>
    <col min="16" max="16384" width="7.875" style="1"/>
  </cols>
  <sheetData>
    <row r="1" s="1" customFormat="1" ht="36" customHeight="1" spans="1:20">
      <c r="A1" s="2" t="s">
        <v>563</v>
      </c>
      <c r="B1" s="2"/>
      <c r="C1" s="2"/>
      <c r="D1" s="2"/>
      <c r="E1" s="2"/>
      <c r="F1" s="2"/>
      <c r="G1" s="2"/>
      <c r="H1" s="2"/>
      <c r="I1" s="2"/>
      <c r="J1" s="2"/>
      <c r="K1" s="2"/>
      <c r="L1" s="2"/>
      <c r="M1" s="2"/>
    </row>
    <row r="2" s="1" customFormat="1" ht="12" customHeight="1" spans="1:20">
      <c r="A2" s="3" t="s">
        <v>564</v>
      </c>
      <c r="M2" s="4" t="s">
        <v>532</v>
      </c>
    </row>
    <row r="3" s="1" customFormat="1" ht="36" customHeight="1" spans="1:20">
      <c r="A3" s="5" t="s">
        <v>8</v>
      </c>
      <c r="B3" s="5" t="s">
        <v>565</v>
      </c>
      <c r="C3" s="5" t="s">
        <v>566</v>
      </c>
      <c r="D3" s="5" t="s">
        <v>567</v>
      </c>
      <c r="E3" s="5" t="s">
        <v>233</v>
      </c>
      <c r="F3" s="5" t="s">
        <v>568</v>
      </c>
      <c r="G3" s="5" t="s">
        <v>569</v>
      </c>
      <c r="H3" s="5" t="s">
        <v>570</v>
      </c>
      <c r="I3" s="5" t="s">
        <v>571</v>
      </c>
      <c r="J3" s="5" t="s">
        <v>572</v>
      </c>
      <c r="K3" s="5" t="s">
        <v>173</v>
      </c>
      <c r="L3" s="5" t="s">
        <v>573</v>
      </c>
      <c r="M3" s="5" t="s">
        <v>574</v>
      </c>
      <c r="O3" s="8" t="s">
        <v>572</v>
      </c>
      <c r="P3" s="8" t="s">
        <v>210</v>
      </c>
      <c r="Q3" s="8" t="s">
        <v>18</v>
      </c>
      <c r="R3" s="8" t="s">
        <v>575</v>
      </c>
      <c r="S3" s="8" t="s">
        <v>214</v>
      </c>
      <c r="T3" s="8" t="s">
        <v>216</v>
      </c>
    </row>
    <row r="4" s="1" customFormat="1" ht="18" customHeight="1" spans="1:20">
      <c r="A4" s="6" t="s">
        <v>354</v>
      </c>
      <c r="B4" s="6" t="s">
        <v>210</v>
      </c>
      <c r="C4" s="6" t="s">
        <v>181</v>
      </c>
      <c r="D4" s="7">
        <v>100</v>
      </c>
      <c r="E4" s="7">
        <v>3686358</v>
      </c>
      <c r="F4" s="7">
        <v>1733083</v>
      </c>
      <c r="G4" s="7">
        <v>539561</v>
      </c>
      <c r="H4" s="7">
        <v>703696</v>
      </c>
      <c r="I4" s="7">
        <v>440224</v>
      </c>
      <c r="J4" s="7">
        <v>163924</v>
      </c>
      <c r="K4" s="7">
        <v>7266845</v>
      </c>
      <c r="L4" s="7">
        <v>62.77</v>
      </c>
      <c r="M4" s="7">
        <v>1062248.948</v>
      </c>
      <c r="O4" s="8" t="s">
        <v>576</v>
      </c>
      <c r="P4" s="1" t="e">
        <f>#REF!+#REF!+#REF!</f>
        <v>#REF!</v>
      </c>
      <c r="Q4" s="1" t="e">
        <f>#REF!</f>
        <v>#REF!</v>
      </c>
      <c r="R4" s="1" t="e">
        <f>#REF!+#REF!+#REF!</f>
        <v>#REF!</v>
      </c>
      <c r="S4" s="1" t="e">
        <f>#REF!+#REF!+#REF!</f>
        <v>#REF!</v>
      </c>
      <c r="T4" s="1" t="e">
        <f>#REF!+#REF!+#REF!</f>
        <v>#REF!</v>
      </c>
    </row>
    <row r="5" s="1" customFormat="1" ht="18" customHeight="1" spans="1:20">
      <c r="A5" s="6" t="s">
        <v>577</v>
      </c>
      <c r="B5" s="6" t="s">
        <v>578</v>
      </c>
      <c r="C5" s="6" t="s">
        <v>181</v>
      </c>
      <c r="D5" s="7">
        <v>100</v>
      </c>
      <c r="E5" s="7">
        <v>3279988</v>
      </c>
      <c r="F5" s="7">
        <v>1641913</v>
      </c>
      <c r="G5" s="7">
        <v>487881</v>
      </c>
      <c r="H5" s="7">
        <v>648620</v>
      </c>
      <c r="I5" s="7">
        <v>403948</v>
      </c>
      <c r="J5" s="7">
        <v>143792</v>
      </c>
      <c r="K5" s="7">
        <v>6606142</v>
      </c>
      <c r="L5" s="7">
        <v>57.06</v>
      </c>
      <c r="M5" s="7">
        <v>965669.013</v>
      </c>
      <c r="O5" s="8" t="s">
        <v>203</v>
      </c>
    </row>
    <row r="6" s="1" customFormat="1" ht="18" customHeight="1" spans="1:20">
      <c r="A6" s="6" t="s">
        <v>579</v>
      </c>
      <c r="B6" s="6" t="s">
        <v>580</v>
      </c>
      <c r="C6" s="6" t="s">
        <v>181</v>
      </c>
      <c r="D6" s="7">
        <v>100</v>
      </c>
      <c r="E6" s="7">
        <v>2151242</v>
      </c>
      <c r="F6" s="7">
        <v>229419</v>
      </c>
      <c r="G6" s="7">
        <v>244047</v>
      </c>
      <c r="H6" s="7">
        <v>286322</v>
      </c>
      <c r="I6" s="7">
        <v>159407</v>
      </c>
      <c r="J6" s="7">
        <v>107080</v>
      </c>
      <c r="K6" s="7">
        <v>3177516</v>
      </c>
      <c r="L6" s="7">
        <v>27.45</v>
      </c>
      <c r="M6" s="7">
        <v>464481.286</v>
      </c>
      <c r="O6" s="8" t="s">
        <v>204</v>
      </c>
      <c r="P6" s="1" t="e">
        <f>#REF!</f>
        <v>#REF!</v>
      </c>
      <c r="Q6" s="1">
        <v>0</v>
      </c>
      <c r="R6" s="1" t="e">
        <f>#REF!</f>
        <v>#REF!</v>
      </c>
      <c r="S6" s="1" t="e">
        <f>#REF!</f>
        <v>#REF!</v>
      </c>
      <c r="T6" s="1" t="e">
        <f>#REF!</f>
        <v>#REF!</v>
      </c>
    </row>
    <row r="7" s="1" customFormat="1" ht="30.6" customHeight="1" spans="1:20">
      <c r="A7" s="6" t="s">
        <v>581</v>
      </c>
      <c r="B7" s="6" t="s">
        <v>582</v>
      </c>
      <c r="C7" s="6" t="s">
        <v>181</v>
      </c>
      <c r="D7" s="7">
        <v>100</v>
      </c>
      <c r="E7" s="7">
        <v>1572583</v>
      </c>
      <c r="F7" s="7">
        <v>187830</v>
      </c>
      <c r="G7" s="7">
        <v>193465</v>
      </c>
      <c r="H7" s="7">
        <v>142249</v>
      </c>
      <c r="I7" s="7">
        <v>121159</v>
      </c>
      <c r="J7" s="7">
        <v>84386</v>
      </c>
      <c r="K7" s="7">
        <v>2301672</v>
      </c>
      <c r="L7" s="7">
        <v>19.88</v>
      </c>
      <c r="M7" s="7">
        <v>336452.549</v>
      </c>
    </row>
    <row r="8" s="1" customFormat="1" ht="30.6" customHeight="1" spans="1:20">
      <c r="A8" s="6" t="s">
        <v>583</v>
      </c>
      <c r="B8" s="6" t="s">
        <v>584</v>
      </c>
      <c r="C8" s="6" t="s">
        <v>181</v>
      </c>
      <c r="D8" s="7">
        <v>100</v>
      </c>
      <c r="E8" s="7">
        <v>225735</v>
      </c>
      <c r="F8" s="7">
        <v>1963</v>
      </c>
      <c r="G8" s="7">
        <v>2174</v>
      </c>
      <c r="H8" s="7">
        <v>47010</v>
      </c>
      <c r="I8" s="7">
        <v>2697</v>
      </c>
      <c r="J8" s="7">
        <v>1921</v>
      </c>
      <c r="K8" s="7">
        <v>281499</v>
      </c>
      <c r="L8" s="7">
        <v>2.43</v>
      </c>
      <c r="M8" s="7">
        <v>41148.835</v>
      </c>
    </row>
    <row r="9" s="1" customFormat="1" ht="30.6" customHeight="1" spans="1:20">
      <c r="A9" s="6" t="s">
        <v>585</v>
      </c>
      <c r="B9" s="6" t="s">
        <v>586</v>
      </c>
      <c r="C9" s="6" t="s">
        <v>181</v>
      </c>
      <c r="D9" s="7">
        <v>100</v>
      </c>
      <c r="E9" s="7">
        <v>352924</v>
      </c>
      <c r="F9" s="7">
        <v>39626</v>
      </c>
      <c r="G9" s="7">
        <v>48407</v>
      </c>
      <c r="H9" s="7">
        <v>97063</v>
      </c>
      <c r="I9" s="7">
        <v>35552</v>
      </c>
      <c r="J9" s="7">
        <v>20773</v>
      </c>
      <c r="K9" s="7">
        <v>594345</v>
      </c>
      <c r="L9" s="7">
        <v>5.13</v>
      </c>
      <c r="M9" s="7">
        <v>86879.902</v>
      </c>
    </row>
    <row r="10" s="1" customFormat="1" ht="18" customHeight="1" spans="1:20">
      <c r="A10" s="6" t="s">
        <v>587</v>
      </c>
      <c r="B10" s="6" t="s">
        <v>588</v>
      </c>
      <c r="C10" s="6" t="s">
        <v>181</v>
      </c>
      <c r="D10" s="7">
        <v>100</v>
      </c>
      <c r="E10" s="7">
        <v>1128746</v>
      </c>
      <c r="F10" s="7">
        <v>1412494</v>
      </c>
      <c r="G10" s="7">
        <v>243834</v>
      </c>
      <c r="H10" s="7">
        <v>362298</v>
      </c>
      <c r="I10" s="7">
        <v>244541</v>
      </c>
      <c r="J10" s="7">
        <v>36712</v>
      </c>
      <c r="K10" s="7">
        <v>3428625</v>
      </c>
      <c r="L10" s="7">
        <v>29.62</v>
      </c>
      <c r="M10" s="7">
        <v>501187.727</v>
      </c>
    </row>
    <row r="11" s="1" customFormat="1" ht="30.6" customHeight="1" spans="1:20">
      <c r="A11" s="6" t="s">
        <v>589</v>
      </c>
      <c r="B11" s="6" t="s">
        <v>590</v>
      </c>
      <c r="C11" s="6" t="s">
        <v>181</v>
      </c>
      <c r="D11" s="7">
        <v>100</v>
      </c>
      <c r="E11" s="7"/>
      <c r="F11" s="7"/>
      <c r="G11" s="7"/>
      <c r="H11" s="7"/>
      <c r="I11" s="7"/>
      <c r="J11" s="7"/>
      <c r="K11" s="7"/>
      <c r="L11" s="7"/>
      <c r="M11" s="7"/>
    </row>
    <row r="12" s="1" customFormat="1" ht="30.6" customHeight="1" spans="1:20">
      <c r="A12" s="6" t="s">
        <v>591</v>
      </c>
      <c r="B12" s="6" t="s">
        <v>592</v>
      </c>
      <c r="C12" s="6" t="s">
        <v>181</v>
      </c>
      <c r="D12" s="7">
        <v>100</v>
      </c>
      <c r="E12" s="7">
        <v>1128746</v>
      </c>
      <c r="F12" s="7">
        <v>1412494</v>
      </c>
      <c r="G12" s="7">
        <v>243834</v>
      </c>
      <c r="H12" s="7">
        <v>362298</v>
      </c>
      <c r="I12" s="7">
        <v>244541</v>
      </c>
      <c r="J12" s="7">
        <v>36712</v>
      </c>
      <c r="K12" s="7">
        <v>3428625</v>
      </c>
      <c r="L12" s="7">
        <v>29.62</v>
      </c>
      <c r="M12" s="7">
        <v>501187.727</v>
      </c>
    </row>
    <row r="13" s="1" customFormat="1" ht="18" customHeight="1" spans="1:20">
      <c r="A13" s="6" t="s">
        <v>593</v>
      </c>
      <c r="B13" s="6" t="s">
        <v>258</v>
      </c>
      <c r="C13" s="6" t="s">
        <v>181</v>
      </c>
      <c r="D13" s="7">
        <v>100</v>
      </c>
      <c r="E13" s="7">
        <v>406370</v>
      </c>
      <c r="F13" s="7">
        <v>91169</v>
      </c>
      <c r="G13" s="7">
        <v>51680</v>
      </c>
      <c r="H13" s="7">
        <v>55077</v>
      </c>
      <c r="I13" s="7">
        <v>36276</v>
      </c>
      <c r="J13" s="7">
        <v>20132</v>
      </c>
      <c r="K13" s="7">
        <v>660703</v>
      </c>
      <c r="L13" s="7">
        <v>5.71</v>
      </c>
      <c r="M13" s="7">
        <v>96579.935</v>
      </c>
    </row>
    <row r="14" s="1" customFormat="1" ht="18" customHeight="1" spans="1:20">
      <c r="A14" s="6" t="s">
        <v>594</v>
      </c>
      <c r="B14" s="6" t="s">
        <v>595</v>
      </c>
      <c r="C14" s="6" t="s">
        <v>181</v>
      </c>
      <c r="D14" s="7">
        <v>3.57</v>
      </c>
      <c r="E14" s="7">
        <v>56141</v>
      </c>
      <c r="F14" s="7">
        <v>6706</v>
      </c>
      <c r="G14" s="7">
        <v>6907</v>
      </c>
      <c r="H14" s="7">
        <v>5078</v>
      </c>
      <c r="I14" s="7">
        <v>4325</v>
      </c>
      <c r="J14" s="7">
        <v>3013</v>
      </c>
      <c r="K14" s="7">
        <v>82170</v>
      </c>
      <c r="L14" s="7">
        <v>0.71</v>
      </c>
      <c r="M14" s="7">
        <v>12011.356</v>
      </c>
    </row>
    <row r="15" s="1" customFormat="1" ht="18" customHeight="1" spans="1:20">
      <c r="A15" s="6" t="s">
        <v>596</v>
      </c>
      <c r="B15" s="6" t="s">
        <v>597</v>
      </c>
      <c r="C15" s="6" t="s">
        <v>181</v>
      </c>
      <c r="D15" s="7"/>
      <c r="E15" s="7"/>
      <c r="F15" s="7"/>
      <c r="G15" s="7"/>
      <c r="H15" s="7"/>
      <c r="I15" s="7"/>
      <c r="J15" s="7"/>
      <c r="K15" s="7"/>
      <c r="L15" s="7"/>
      <c r="M15" s="7"/>
    </row>
    <row r="16" s="1" customFormat="1" ht="18" customHeight="1" spans="1:20">
      <c r="A16" s="6" t="s">
        <v>598</v>
      </c>
      <c r="B16" s="6" t="s">
        <v>599</v>
      </c>
      <c r="C16" s="6" t="s">
        <v>181</v>
      </c>
      <c r="D16" s="7">
        <v>3.82</v>
      </c>
      <c r="E16" s="7">
        <v>60073</v>
      </c>
      <c r="F16" s="7">
        <v>7175</v>
      </c>
      <c r="G16" s="7">
        <v>7390</v>
      </c>
      <c r="H16" s="7">
        <v>5434</v>
      </c>
      <c r="I16" s="7">
        <v>4628</v>
      </c>
      <c r="J16" s="7">
        <v>3224</v>
      </c>
      <c r="K16" s="7">
        <v>87924</v>
      </c>
      <c r="L16" s="7">
        <v>0.76</v>
      </c>
      <c r="M16" s="7">
        <v>12852.487</v>
      </c>
    </row>
    <row r="17" s="1" customFormat="1" ht="18" customHeight="1" spans="1:13">
      <c r="A17" s="6" t="s">
        <v>600</v>
      </c>
      <c r="B17" s="6" t="s">
        <v>601</v>
      </c>
      <c r="C17" s="6" t="s">
        <v>181</v>
      </c>
      <c r="D17" s="7"/>
      <c r="E17" s="7"/>
      <c r="F17" s="7"/>
      <c r="G17" s="7"/>
      <c r="H17" s="7"/>
      <c r="I17" s="7"/>
      <c r="J17" s="7"/>
      <c r="K17" s="7"/>
      <c r="L17" s="7"/>
      <c r="M17" s="7"/>
    </row>
    <row r="18" s="1" customFormat="1" ht="18" customHeight="1" spans="1:13">
      <c r="A18" s="6" t="s">
        <v>602</v>
      </c>
      <c r="B18" s="6" t="s">
        <v>76</v>
      </c>
      <c r="C18" s="6" t="s">
        <v>181</v>
      </c>
      <c r="D18" s="7">
        <v>6.35</v>
      </c>
      <c r="E18" s="7">
        <v>136604</v>
      </c>
      <c r="F18" s="7">
        <v>14568</v>
      </c>
      <c r="G18" s="7">
        <v>15497</v>
      </c>
      <c r="H18" s="7">
        <v>18181</v>
      </c>
      <c r="I18" s="7">
        <v>10122</v>
      </c>
      <c r="J18" s="7">
        <v>6800</v>
      </c>
      <c r="K18" s="7">
        <v>201772</v>
      </c>
      <c r="L18" s="7">
        <v>1.74</v>
      </c>
      <c r="M18" s="7">
        <v>29494.562</v>
      </c>
    </row>
    <row r="19" s="1" customFormat="1" ht="18" customHeight="1" spans="1:13">
      <c r="A19" s="6" t="s">
        <v>603</v>
      </c>
      <c r="B19" s="6" t="s">
        <v>604</v>
      </c>
      <c r="C19" s="6" t="s">
        <v>181</v>
      </c>
      <c r="D19" s="7">
        <v>2.36</v>
      </c>
      <c r="E19" s="7">
        <v>37113</v>
      </c>
      <c r="F19" s="7">
        <v>4433</v>
      </c>
      <c r="G19" s="7">
        <v>4566</v>
      </c>
      <c r="H19" s="7">
        <v>3357</v>
      </c>
      <c r="I19" s="7">
        <v>2859</v>
      </c>
      <c r="J19" s="7">
        <v>1992</v>
      </c>
      <c r="K19" s="7">
        <v>54319</v>
      </c>
      <c r="L19" s="7">
        <v>0.47</v>
      </c>
      <c r="M19" s="7">
        <v>7940.28</v>
      </c>
    </row>
    <row r="20" s="1" customFormat="1" ht="18" customHeight="1" spans="1:13">
      <c r="A20" s="6" t="s">
        <v>605</v>
      </c>
      <c r="B20" s="6" t="s">
        <v>213</v>
      </c>
      <c r="C20" s="6" t="s">
        <v>181</v>
      </c>
      <c r="D20" s="7">
        <v>3.55</v>
      </c>
      <c r="E20" s="7">
        <v>116440</v>
      </c>
      <c r="F20" s="7">
        <v>58288</v>
      </c>
      <c r="G20" s="7">
        <v>17320</v>
      </c>
      <c r="H20" s="7">
        <v>23026</v>
      </c>
      <c r="I20" s="7">
        <v>14340</v>
      </c>
      <c r="J20" s="7">
        <v>5105</v>
      </c>
      <c r="K20" s="7">
        <v>234518</v>
      </c>
      <c r="L20" s="7">
        <v>2.03</v>
      </c>
      <c r="M20" s="7">
        <v>34281.25</v>
      </c>
    </row>
    <row r="21" s="1" customFormat="1" ht="18" customHeight="1" spans="1:13">
      <c r="A21" s="6" t="s">
        <v>606</v>
      </c>
      <c r="B21" s="6" t="s">
        <v>607</v>
      </c>
      <c r="C21" s="6" t="s">
        <v>181</v>
      </c>
      <c r="D21" s="7">
        <v>100</v>
      </c>
      <c r="E21" s="7">
        <v>1171339</v>
      </c>
      <c r="F21" s="7">
        <v>139614</v>
      </c>
      <c r="G21" s="7">
        <v>143884</v>
      </c>
      <c r="H21" s="7">
        <v>106927</v>
      </c>
      <c r="I21" s="7">
        <v>90178</v>
      </c>
      <c r="J21" s="7">
        <v>62766</v>
      </c>
      <c r="K21" s="7">
        <v>1714708</v>
      </c>
      <c r="L21" s="7">
        <v>14.81</v>
      </c>
      <c r="M21" s="7">
        <v>250651.621</v>
      </c>
    </row>
    <row r="22" s="1" customFormat="1" ht="18" customHeight="1" spans="1:13">
      <c r="A22" s="6" t="s">
        <v>577</v>
      </c>
      <c r="B22" s="6" t="s">
        <v>608</v>
      </c>
      <c r="C22" s="6" t="s">
        <v>181</v>
      </c>
      <c r="D22" s="7">
        <v>100</v>
      </c>
      <c r="E22" s="7">
        <v>586180</v>
      </c>
      <c r="F22" s="7">
        <v>70014</v>
      </c>
      <c r="G22" s="7">
        <v>72114</v>
      </c>
      <c r="H22" s="7">
        <v>53023</v>
      </c>
      <c r="I22" s="7">
        <v>45162</v>
      </c>
      <c r="J22" s="7">
        <v>31455</v>
      </c>
      <c r="K22" s="7">
        <v>857948</v>
      </c>
      <c r="L22" s="7">
        <v>7.41</v>
      </c>
      <c r="M22" s="7">
        <v>125412.688</v>
      </c>
    </row>
    <row r="23" s="1" customFormat="1" ht="18" customHeight="1" spans="1:13">
      <c r="A23" s="6" t="s">
        <v>579</v>
      </c>
      <c r="B23" s="6" t="s">
        <v>609</v>
      </c>
      <c r="C23" s="6" t="s">
        <v>181</v>
      </c>
      <c r="D23" s="7">
        <v>23.5</v>
      </c>
      <c r="E23" s="7">
        <v>388035</v>
      </c>
      <c r="F23" s="7">
        <v>46347</v>
      </c>
      <c r="G23" s="7">
        <v>47738</v>
      </c>
      <c r="H23" s="7">
        <v>35100</v>
      </c>
      <c r="I23" s="7">
        <v>29896</v>
      </c>
      <c r="J23" s="7">
        <v>20822</v>
      </c>
      <c r="K23" s="7">
        <v>567938</v>
      </c>
      <c r="L23" s="7">
        <v>4.91</v>
      </c>
      <c r="M23" s="7">
        <v>83019.667</v>
      </c>
    </row>
    <row r="24" s="1" customFormat="1" ht="18" customHeight="1" spans="1:13">
      <c r="A24" s="6" t="s">
        <v>587</v>
      </c>
      <c r="B24" s="6" t="s">
        <v>610</v>
      </c>
      <c r="C24" s="6" t="s">
        <v>181</v>
      </c>
      <c r="D24" s="7">
        <v>12</v>
      </c>
      <c r="E24" s="7">
        <v>198145</v>
      </c>
      <c r="F24" s="7">
        <v>23667</v>
      </c>
      <c r="G24" s="7">
        <v>24377</v>
      </c>
      <c r="H24" s="7">
        <v>17923</v>
      </c>
      <c r="I24" s="7">
        <v>15266</v>
      </c>
      <c r="J24" s="7">
        <v>10633</v>
      </c>
      <c r="K24" s="7">
        <v>290011</v>
      </c>
      <c r="L24" s="7">
        <v>2.51</v>
      </c>
      <c r="M24" s="7">
        <v>42393.021</v>
      </c>
    </row>
    <row r="25" s="1" customFormat="1" ht="18" customHeight="1" spans="1:13">
      <c r="A25" s="6" t="s">
        <v>593</v>
      </c>
      <c r="B25" s="6" t="s">
        <v>611</v>
      </c>
      <c r="C25" s="6" t="s">
        <v>181</v>
      </c>
      <c r="D25" s="7">
        <v>35.76</v>
      </c>
      <c r="E25" s="7">
        <v>562356</v>
      </c>
      <c r="F25" s="7">
        <v>67168</v>
      </c>
      <c r="G25" s="7">
        <v>69183</v>
      </c>
      <c r="H25" s="7">
        <v>50868</v>
      </c>
      <c r="I25" s="7">
        <v>43326</v>
      </c>
      <c r="J25" s="7">
        <v>30176</v>
      </c>
      <c r="K25" s="7">
        <v>823078</v>
      </c>
      <c r="L25" s="7">
        <v>7.11</v>
      </c>
      <c r="M25" s="7">
        <v>120315.432</v>
      </c>
    </row>
    <row r="26" s="1" customFormat="1" ht="18" customHeight="1" spans="1:13">
      <c r="A26" s="6" t="s">
        <v>612</v>
      </c>
      <c r="B26" s="6" t="s">
        <v>613</v>
      </c>
      <c r="C26" s="6" t="s">
        <v>181</v>
      </c>
      <c r="D26" s="7">
        <v>1.06</v>
      </c>
      <c r="E26" s="7">
        <v>22803</v>
      </c>
      <c r="F26" s="7">
        <v>2432</v>
      </c>
      <c r="G26" s="7">
        <v>2587</v>
      </c>
      <c r="H26" s="7">
        <v>3035</v>
      </c>
      <c r="I26" s="7">
        <v>1690</v>
      </c>
      <c r="J26" s="7">
        <v>1135</v>
      </c>
      <c r="K26" s="7">
        <v>33682</v>
      </c>
      <c r="L26" s="7">
        <v>0.29</v>
      </c>
      <c r="M26" s="7">
        <v>4923.502</v>
      </c>
    </row>
    <row r="27" s="1" customFormat="1" ht="18" customHeight="1" spans="1:13">
      <c r="A27" s="6" t="s">
        <v>614</v>
      </c>
      <c r="B27" s="6" t="s">
        <v>615</v>
      </c>
      <c r="C27" s="6" t="s">
        <v>181</v>
      </c>
      <c r="D27" s="7">
        <v>5</v>
      </c>
      <c r="E27" s="7">
        <v>242885</v>
      </c>
      <c r="F27" s="7">
        <v>93635</v>
      </c>
      <c r="G27" s="7">
        <v>34172</v>
      </c>
      <c r="H27" s="7">
        <v>40531</v>
      </c>
      <c r="I27" s="7">
        <v>26520</v>
      </c>
      <c r="J27" s="7">
        <v>11335</v>
      </c>
      <c r="K27" s="7">
        <v>449078</v>
      </c>
      <c r="L27" s="7">
        <v>3.88</v>
      </c>
      <c r="M27" s="7">
        <v>65645.028</v>
      </c>
    </row>
    <row r="28" s="1" customFormat="1" ht="18" customHeight="1" spans="1:13">
      <c r="A28" s="6" t="s">
        <v>616</v>
      </c>
      <c r="B28" s="6" t="s">
        <v>617</v>
      </c>
      <c r="C28" s="6" t="s">
        <v>181</v>
      </c>
      <c r="D28" s="7">
        <v>100</v>
      </c>
      <c r="E28" s="7">
        <v>475537</v>
      </c>
      <c r="F28" s="7">
        <v>308258</v>
      </c>
      <c r="G28" s="7">
        <v>23114</v>
      </c>
      <c r="H28" s="7">
        <v>153224</v>
      </c>
      <c r="I28" s="7">
        <v>14485</v>
      </c>
      <c r="J28" s="7">
        <v>26265</v>
      </c>
      <c r="K28" s="7">
        <v>1000883</v>
      </c>
      <c r="L28" s="7">
        <v>8.65</v>
      </c>
      <c r="M28" s="7">
        <v>146306.463</v>
      </c>
    </row>
    <row r="29" s="1" customFormat="1" ht="18" customHeight="1" spans="1:13">
      <c r="A29" s="6" t="s">
        <v>577</v>
      </c>
      <c r="B29" s="6" t="s">
        <v>618</v>
      </c>
      <c r="C29" s="6" t="s">
        <v>181</v>
      </c>
      <c r="D29" s="7">
        <v>100</v>
      </c>
      <c r="E29" s="7">
        <v>167480</v>
      </c>
      <c r="F29" s="7">
        <v>20004</v>
      </c>
      <c r="G29" s="7">
        <v>20604</v>
      </c>
      <c r="H29" s="7">
        <v>15150</v>
      </c>
      <c r="I29" s="7">
        <v>12903</v>
      </c>
      <c r="J29" s="7">
        <v>8987</v>
      </c>
      <c r="K29" s="7">
        <v>245128</v>
      </c>
      <c r="L29" s="7">
        <v>2.12</v>
      </c>
      <c r="M29" s="7">
        <v>35832.196</v>
      </c>
    </row>
    <row r="30" s="1" customFormat="1" ht="18" customHeight="1" spans="1:13">
      <c r="A30" s="6" t="s">
        <v>593</v>
      </c>
      <c r="B30" s="6" t="s">
        <v>619</v>
      </c>
      <c r="C30" s="6" t="s">
        <v>181</v>
      </c>
      <c r="D30" s="7">
        <v>100</v>
      </c>
      <c r="E30" s="7">
        <v>11535</v>
      </c>
      <c r="F30" s="7">
        <v>100</v>
      </c>
      <c r="G30" s="7">
        <v>111</v>
      </c>
      <c r="H30" s="7">
        <v>2402</v>
      </c>
      <c r="I30" s="7">
        <v>138</v>
      </c>
      <c r="J30" s="7">
        <v>98</v>
      </c>
      <c r="K30" s="7">
        <v>14385</v>
      </c>
      <c r="L30" s="7">
        <v>0.12</v>
      </c>
      <c r="M30" s="7">
        <v>2102.705</v>
      </c>
    </row>
    <row r="31" s="1" customFormat="1" ht="18" customHeight="1" spans="1:13">
      <c r="A31" s="6" t="s">
        <v>612</v>
      </c>
      <c r="B31" s="6" t="s">
        <v>620</v>
      </c>
      <c r="C31" s="6" t="s">
        <v>181</v>
      </c>
      <c r="D31" s="7">
        <v>100</v>
      </c>
      <c r="E31" s="7">
        <v>18034</v>
      </c>
      <c r="F31" s="7">
        <v>2025</v>
      </c>
      <c r="G31" s="7">
        <v>2474</v>
      </c>
      <c r="H31" s="7">
        <v>4960</v>
      </c>
      <c r="I31" s="7">
        <v>1817</v>
      </c>
      <c r="J31" s="7">
        <v>1062</v>
      </c>
      <c r="K31" s="7">
        <v>30371</v>
      </c>
      <c r="L31" s="7">
        <v>0.26</v>
      </c>
      <c r="M31" s="7">
        <v>4439.563</v>
      </c>
    </row>
    <row r="32" s="1" customFormat="1" ht="18" customHeight="1" spans="1:13">
      <c r="A32" s="6" t="s">
        <v>621</v>
      </c>
      <c r="B32" s="6" t="s">
        <v>622</v>
      </c>
      <c r="C32" s="6" t="s">
        <v>181</v>
      </c>
      <c r="D32" s="7">
        <v>100</v>
      </c>
      <c r="E32" s="7">
        <v>278487</v>
      </c>
      <c r="F32" s="7">
        <v>286129</v>
      </c>
      <c r="G32" s="7">
        <v>-75</v>
      </c>
      <c r="H32" s="7">
        <v>130712</v>
      </c>
      <c r="I32" s="7">
        <v>-373</v>
      </c>
      <c r="J32" s="7">
        <v>16119</v>
      </c>
      <c r="K32" s="7">
        <v>710999</v>
      </c>
      <c r="L32" s="7">
        <v>6.14</v>
      </c>
      <c r="M32" s="7">
        <v>103931.998</v>
      </c>
    </row>
    <row r="33" s="1" customFormat="1" ht="18" customHeight="1" spans="1:13">
      <c r="A33" s="6" t="s">
        <v>623</v>
      </c>
      <c r="B33" s="6" t="s">
        <v>624</v>
      </c>
      <c r="C33" s="6" t="s">
        <v>181</v>
      </c>
      <c r="D33" s="7">
        <v>100</v>
      </c>
      <c r="E33" s="7"/>
      <c r="F33" s="7"/>
      <c r="G33" s="7"/>
      <c r="H33" s="7"/>
      <c r="I33" s="7"/>
      <c r="J33" s="7"/>
      <c r="K33" s="7"/>
      <c r="L33" s="7"/>
      <c r="M33" s="7"/>
    </row>
    <row r="34" s="1" customFormat="1" ht="18" customHeight="1" spans="1:13">
      <c r="A34" s="6" t="s">
        <v>625</v>
      </c>
      <c r="B34" s="6" t="s">
        <v>626</v>
      </c>
      <c r="C34" s="6" t="s">
        <v>181</v>
      </c>
      <c r="D34" s="7">
        <v>100</v>
      </c>
      <c r="E34" s="7">
        <v>278487</v>
      </c>
      <c r="F34" s="7">
        <v>286129</v>
      </c>
      <c r="G34" s="7">
        <v>-75</v>
      </c>
      <c r="H34" s="7">
        <v>130712</v>
      </c>
      <c r="I34" s="7">
        <v>-373</v>
      </c>
      <c r="J34" s="7">
        <v>16119</v>
      </c>
      <c r="K34" s="7">
        <v>710999</v>
      </c>
      <c r="L34" s="7">
        <v>6.14</v>
      </c>
      <c r="M34" s="7">
        <v>103931.998</v>
      </c>
    </row>
    <row r="35" s="1" customFormat="1" ht="18" customHeight="1" spans="1:13">
      <c r="A35" s="6" t="s">
        <v>627</v>
      </c>
      <c r="B35" s="6" t="s">
        <v>216</v>
      </c>
      <c r="C35" s="6" t="s">
        <v>181</v>
      </c>
      <c r="D35" s="7">
        <v>9</v>
      </c>
      <c r="E35" s="7">
        <v>501851</v>
      </c>
      <c r="F35" s="7">
        <v>204713</v>
      </c>
      <c r="G35" s="7">
        <v>66666</v>
      </c>
      <c r="H35" s="7">
        <v>90394</v>
      </c>
      <c r="I35" s="7">
        <v>51427</v>
      </c>
      <c r="J35" s="7">
        <v>23786</v>
      </c>
      <c r="K35" s="7">
        <v>938836</v>
      </c>
      <c r="L35" s="7">
        <v>8.11</v>
      </c>
      <c r="M35" s="7">
        <v>137236.685</v>
      </c>
    </row>
    <row r="36" s="1" customFormat="1" ht="18" customHeight="1" spans="1:13">
      <c r="A36" s="6" t="s">
        <v>628</v>
      </c>
      <c r="B36" s="6" t="s">
        <v>15</v>
      </c>
      <c r="C36" s="6" t="s">
        <v>181</v>
      </c>
      <c r="D36" s="7">
        <v>100</v>
      </c>
      <c r="E36" s="7"/>
      <c r="F36" s="7"/>
      <c r="G36" s="7"/>
      <c r="H36" s="7"/>
      <c r="I36" s="7">
        <v>186346</v>
      </c>
      <c r="J36" s="7"/>
      <c r="K36" s="7">
        <v>186346</v>
      </c>
      <c r="L36" s="7">
        <v>1.61</v>
      </c>
      <c r="M36" s="7">
        <v>27239.643</v>
      </c>
    </row>
    <row r="37" s="1" customFormat="1" ht="18" customHeight="1" spans="1:13">
      <c r="A37" s="6" t="s">
        <v>577</v>
      </c>
      <c r="B37" s="6" t="s">
        <v>629</v>
      </c>
      <c r="C37" s="6" t="s">
        <v>181</v>
      </c>
      <c r="D37" s="7">
        <v>100</v>
      </c>
      <c r="E37" s="7"/>
      <c r="F37" s="7"/>
      <c r="G37" s="7"/>
      <c r="H37" s="7"/>
      <c r="I37" s="7">
        <v>186346</v>
      </c>
      <c r="J37" s="7"/>
      <c r="K37" s="7">
        <v>186346</v>
      </c>
      <c r="L37" s="7">
        <v>1.61</v>
      </c>
      <c r="M37" s="7">
        <v>27239.643</v>
      </c>
    </row>
    <row r="38" s="1" customFormat="1" ht="18" customHeight="1" spans="1:13">
      <c r="A38" s="6" t="s">
        <v>593</v>
      </c>
      <c r="B38" s="6" t="s">
        <v>630</v>
      </c>
      <c r="C38" s="6" t="s">
        <v>181</v>
      </c>
      <c r="D38" s="7">
        <v>100</v>
      </c>
      <c r="E38" s="7"/>
      <c r="F38" s="7"/>
      <c r="G38" s="7"/>
      <c r="H38" s="7"/>
      <c r="I38" s="7"/>
      <c r="J38" s="7"/>
      <c r="K38" s="7"/>
      <c r="L38" s="7"/>
      <c r="M38" s="7"/>
    </row>
    <row r="39" s="1" customFormat="1" ht="18" customHeight="1" spans="1:13">
      <c r="A39" s="6" t="s">
        <v>631</v>
      </c>
      <c r="B39" s="6" t="s">
        <v>100</v>
      </c>
      <c r="C39" s="6" t="s">
        <v>181</v>
      </c>
      <c r="D39" s="7">
        <v>100</v>
      </c>
      <c r="E39" s="7">
        <v>6077969</v>
      </c>
      <c r="F39" s="7">
        <v>2479302</v>
      </c>
      <c r="G39" s="7">
        <v>807397</v>
      </c>
      <c r="H39" s="7">
        <v>1115295</v>
      </c>
      <c r="I39" s="7">
        <v>809179</v>
      </c>
      <c r="J39" s="7">
        <v>288076</v>
      </c>
      <c r="K39" s="7">
        <v>11577219</v>
      </c>
      <c r="L39" s="7">
        <v>100</v>
      </c>
      <c r="M39" s="7">
        <v>1692328.389</v>
      </c>
    </row>
    <row r="40" s="1" customFormat="1" ht="18" customHeight="1" spans="1:13">
      <c r="A40" s="6" t="s">
        <v>181</v>
      </c>
      <c r="B40" s="6" t="s">
        <v>181</v>
      </c>
      <c r="C40" s="6" t="s">
        <v>181</v>
      </c>
      <c r="D40" s="7"/>
      <c r="E40" s="7"/>
      <c r="F40" s="7"/>
      <c r="G40" s="7"/>
      <c r="H40" s="7"/>
      <c r="I40" s="7"/>
      <c r="J40" s="7"/>
      <c r="K40" s="7"/>
      <c r="L40" s="7"/>
      <c r="M40" s="7"/>
    </row>
    <row r="41" s="1" customFormat="1" ht="18" customHeight="1" spans="1:13">
      <c r="A41" s="6" t="s">
        <v>181</v>
      </c>
      <c r="B41" s="6" t="s">
        <v>173</v>
      </c>
      <c r="C41" s="6" t="s">
        <v>181</v>
      </c>
      <c r="D41" s="7"/>
      <c r="E41" s="7">
        <v>6077969</v>
      </c>
      <c r="F41" s="7">
        <v>2479302</v>
      </c>
      <c r="G41" s="7">
        <v>807397</v>
      </c>
      <c r="H41" s="7">
        <v>1115295</v>
      </c>
      <c r="I41" s="7">
        <v>809179</v>
      </c>
      <c r="J41" s="7">
        <v>288076</v>
      </c>
      <c r="K41" s="7">
        <v>11577219</v>
      </c>
      <c r="L41" s="7">
        <v>100</v>
      </c>
      <c r="M41" s="7">
        <v>1692328.389</v>
      </c>
    </row>
    <row r="42" s="1" customFormat="1" ht="18" customHeight="1" spans="1:13">
      <c r="A42" s="6" t="s">
        <v>181</v>
      </c>
      <c r="B42" s="6" t="s">
        <v>632</v>
      </c>
      <c r="C42" s="6" t="s">
        <v>181</v>
      </c>
      <c r="D42" s="7"/>
      <c r="E42" s="7">
        <v>52</v>
      </c>
      <c r="F42" s="7">
        <v>21</v>
      </c>
      <c r="G42" s="7">
        <v>7</v>
      </c>
      <c r="H42" s="7">
        <v>10</v>
      </c>
      <c r="I42" s="7">
        <v>7</v>
      </c>
      <c r="J42" s="7">
        <v>2</v>
      </c>
      <c r="K42" s="7">
        <v>100</v>
      </c>
      <c r="L42" s="7"/>
      <c r="M42" s="7"/>
    </row>
    <row r="43" s="1" customFormat="1" ht="18" customHeight="1" spans="1:13">
      <c r="A43" s="6" t="s">
        <v>181</v>
      </c>
      <c r="B43" s="6" t="s">
        <v>633</v>
      </c>
      <c r="C43" s="6" t="s">
        <v>181</v>
      </c>
      <c r="D43" s="7"/>
      <c r="E43" s="7">
        <v>888462</v>
      </c>
      <c r="F43" s="7">
        <v>362418</v>
      </c>
      <c r="G43" s="7">
        <v>118023</v>
      </c>
      <c r="H43" s="7">
        <v>163031</v>
      </c>
      <c r="I43" s="7">
        <v>118284</v>
      </c>
      <c r="J43" s="7">
        <v>42110</v>
      </c>
      <c r="K43" s="7">
        <v>1692328</v>
      </c>
      <c r="L43" s="7"/>
      <c r="M43" s="7"/>
    </row>
  </sheetData>
  <mergeCells count="1">
    <mergeCell ref="A1:M1"/>
  </mergeCells>
  <pageMargins left="0.499305555555556" right="0.499305555555556" top="0.499305555555556" bottom="0.499305555555556" header="0.343055555555556" footer="0.343055555555556"/>
  <pageSetup paperSize="9" scale="72" fitToHeight="0" orientation="landscape"/>
  <headerFooter>
    <oddHeader>&amp;L&amp;"宋体,常规"&amp;11&amp;C&amp;"宋体,常规"&amp;11&amp;R&amp;"宋体,常规"&amp;11</oddHeader>
    <oddFooter>&amp;L&amp;"宋体,常规"&amp;11 220kV沙赛线64#-80#改迁工程&amp;C&amp;"宋体,常规"&amp;11第  &amp;P  页&amp;R&amp;"宋体,常规"&amp;11九江电力勘察设计院有限公司</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pageSetUpPr fitToPage="1"/>
  </sheetPr>
  <dimension ref="A1:M850"/>
  <sheetViews>
    <sheetView workbookViewId="0">
      <pane ySplit="5" topLeftCell="A837" activePane="bottomLeft" state="frozen"/>
      <selection/>
      <selection pane="bottomLeft" activeCell="K850" sqref="K850"/>
    </sheetView>
  </sheetViews>
  <sheetFormatPr defaultColWidth="7.875" defaultRowHeight="15"/>
  <cols>
    <col min="1" max="1" width="7.375" style="1" customWidth="1"/>
    <col min="2" max="2" width="9.125" style="1" customWidth="1"/>
    <col min="3" max="3" width="21.7583333333333" style="1" customWidth="1"/>
    <col min="4" max="4" width="7.375" style="1" customWidth="1"/>
    <col min="5" max="12" width="9.125" style="1" customWidth="1"/>
    <col min="13" max="13" width="9.625" style="1" customWidth="1"/>
    <col min="14" max="16384" width="7.875" style="1"/>
  </cols>
  <sheetData>
    <row r="1" ht="36" customHeight="1" spans="1:13">
      <c r="A1" s="2" t="s">
        <v>634</v>
      </c>
      <c r="B1" s="2"/>
      <c r="C1" s="2"/>
      <c r="D1" s="2"/>
      <c r="E1" s="2"/>
      <c r="F1" s="2"/>
      <c r="G1" s="2"/>
      <c r="H1" s="2"/>
      <c r="I1" s="2"/>
      <c r="J1" s="2"/>
      <c r="K1" s="2"/>
      <c r="L1" s="2"/>
      <c r="M1" s="2"/>
    </row>
    <row r="2" ht="12" customHeight="1" spans="1:13">
      <c r="A2" s="3" t="s">
        <v>635</v>
      </c>
      <c r="M2" s="4" t="s">
        <v>532</v>
      </c>
    </row>
    <row r="3" ht="18" customHeight="1" spans="1:13">
      <c r="A3" s="5" t="s">
        <v>8</v>
      </c>
      <c r="B3" s="5" t="s">
        <v>636</v>
      </c>
      <c r="C3" s="5" t="s">
        <v>637</v>
      </c>
      <c r="D3" s="5" t="s">
        <v>168</v>
      </c>
      <c r="E3" s="5" t="s">
        <v>169</v>
      </c>
      <c r="F3" s="5" t="s">
        <v>638</v>
      </c>
      <c r="G3" s="5"/>
      <c r="H3" s="5"/>
      <c r="I3" s="5"/>
      <c r="J3" s="5" t="s">
        <v>232</v>
      </c>
      <c r="K3" s="5"/>
      <c r="L3" s="5"/>
      <c r="M3" s="5"/>
    </row>
    <row r="4" ht="18" customHeight="1" spans="1:13">
      <c r="A4" s="5"/>
      <c r="B4" s="5"/>
      <c r="C4" s="5"/>
      <c r="D4" s="5"/>
      <c r="E4" s="5"/>
      <c r="F4" s="5" t="s">
        <v>639</v>
      </c>
      <c r="G4" s="5" t="s">
        <v>640</v>
      </c>
      <c r="H4" s="5"/>
      <c r="I4" s="5"/>
      <c r="J4" s="5" t="s">
        <v>639</v>
      </c>
      <c r="K4" s="5" t="s">
        <v>640</v>
      </c>
      <c r="L4" s="5"/>
      <c r="M4" s="5"/>
    </row>
    <row r="5" ht="30.6" customHeight="1" spans="1:13">
      <c r="A5" s="5"/>
      <c r="B5" s="5"/>
      <c r="C5" s="5"/>
      <c r="D5" s="5"/>
      <c r="E5" s="5"/>
      <c r="F5" s="5"/>
      <c r="G5" s="5" t="s">
        <v>173</v>
      </c>
      <c r="H5" s="5" t="s">
        <v>641</v>
      </c>
      <c r="I5" s="5" t="s">
        <v>642</v>
      </c>
      <c r="J5" s="5"/>
      <c r="K5" s="5" t="s">
        <v>173</v>
      </c>
      <c r="L5" s="5" t="s">
        <v>641</v>
      </c>
      <c r="M5" s="5" t="s">
        <v>642</v>
      </c>
    </row>
    <row r="6" ht="18" customHeight="1" spans="1:13">
      <c r="A6" s="6" t="s">
        <v>354</v>
      </c>
      <c r="B6" s="6" t="s">
        <v>181</v>
      </c>
      <c r="C6" s="6" t="s">
        <v>541</v>
      </c>
      <c r="D6" s="5" t="s">
        <v>181</v>
      </c>
      <c r="E6" s="7"/>
      <c r="F6" s="7"/>
      <c r="G6" s="7"/>
      <c r="H6" s="7"/>
      <c r="I6" s="7"/>
      <c r="J6" s="7">
        <v>10776664</v>
      </c>
      <c r="K6" s="7">
        <v>24290750</v>
      </c>
      <c r="L6" s="7">
        <v>3900013</v>
      </c>
      <c r="M6" s="7">
        <v>1090598</v>
      </c>
    </row>
    <row r="7" ht="18" customHeight="1" spans="1:13">
      <c r="A7" s="6" t="s">
        <v>577</v>
      </c>
      <c r="B7" s="6" t="s">
        <v>181</v>
      </c>
      <c r="C7" s="6" t="s">
        <v>233</v>
      </c>
      <c r="D7" s="5" t="s">
        <v>181</v>
      </c>
      <c r="E7" s="7"/>
      <c r="F7" s="7"/>
      <c r="G7" s="7"/>
      <c r="H7" s="7"/>
      <c r="I7" s="7"/>
      <c r="J7" s="7">
        <v>1646124</v>
      </c>
      <c r="K7" s="7">
        <v>8494345</v>
      </c>
      <c r="L7" s="7">
        <v>2117090</v>
      </c>
      <c r="M7" s="7">
        <v>450581</v>
      </c>
    </row>
    <row r="8" ht="18" customHeight="1" spans="1:13">
      <c r="A8" s="6" t="s">
        <v>579</v>
      </c>
      <c r="B8" s="6" t="s">
        <v>181</v>
      </c>
      <c r="C8" s="6" t="s">
        <v>643</v>
      </c>
      <c r="D8" s="5" t="s">
        <v>181</v>
      </c>
      <c r="E8" s="7"/>
      <c r="F8" s="7"/>
      <c r="G8" s="7"/>
      <c r="H8" s="7"/>
      <c r="I8" s="7"/>
      <c r="J8" s="7"/>
      <c r="K8" s="7">
        <v>2400405</v>
      </c>
      <c r="L8" s="7">
        <v>971858</v>
      </c>
      <c r="M8" s="7">
        <v>99087</v>
      </c>
    </row>
    <row r="9" ht="30.6" customHeight="1" spans="1:13">
      <c r="A9" s="6" t="s">
        <v>181</v>
      </c>
      <c r="B9" s="6" t="s">
        <v>181</v>
      </c>
      <c r="C9" s="6" t="s">
        <v>644</v>
      </c>
      <c r="D9" s="5" t="s">
        <v>181</v>
      </c>
      <c r="E9" s="7"/>
      <c r="F9" s="7"/>
      <c r="G9" s="7"/>
      <c r="H9" s="7"/>
      <c r="I9" s="7"/>
      <c r="J9" s="7"/>
      <c r="K9" s="7"/>
      <c r="L9" s="7"/>
      <c r="M9" s="7"/>
    </row>
    <row r="10" ht="30.6" customHeight="1" spans="1:13">
      <c r="A10" s="6" t="s">
        <v>181</v>
      </c>
      <c r="B10" s="6" t="s">
        <v>645</v>
      </c>
      <c r="C10" s="6" t="s">
        <v>646</v>
      </c>
      <c r="D10" s="5" t="s">
        <v>647</v>
      </c>
      <c r="E10" s="7">
        <v>63.943</v>
      </c>
      <c r="F10" s="7"/>
      <c r="G10" s="7">
        <v>131.28</v>
      </c>
      <c r="H10" s="7">
        <v>123</v>
      </c>
      <c r="I10" s="7">
        <v>8.28</v>
      </c>
      <c r="J10" s="7"/>
      <c r="K10" s="7">
        <v>8394</v>
      </c>
      <c r="L10" s="7">
        <v>7865</v>
      </c>
      <c r="M10" s="7">
        <v>529</v>
      </c>
    </row>
    <row r="11" ht="30.6" customHeight="1" spans="1:13">
      <c r="A11" s="6" t="s">
        <v>181</v>
      </c>
      <c r="B11" s="6" t="s">
        <v>648</v>
      </c>
      <c r="C11" s="6" t="s">
        <v>649</v>
      </c>
      <c r="D11" s="5" t="s">
        <v>182</v>
      </c>
      <c r="E11" s="7">
        <v>127.887</v>
      </c>
      <c r="F11" s="7"/>
      <c r="G11" s="7">
        <v>46.02</v>
      </c>
      <c r="H11" s="7">
        <v>12.61</v>
      </c>
      <c r="I11" s="7">
        <v>26.19</v>
      </c>
      <c r="J11" s="7"/>
      <c r="K11" s="7">
        <v>5885</v>
      </c>
      <c r="L11" s="7">
        <v>1613</v>
      </c>
      <c r="M11" s="7">
        <v>3349</v>
      </c>
    </row>
    <row r="12" ht="30.6" customHeight="1" spans="1:13">
      <c r="A12" s="6" t="s">
        <v>181</v>
      </c>
      <c r="B12" s="6" t="s">
        <v>650</v>
      </c>
      <c r="C12" s="6" t="s">
        <v>651</v>
      </c>
      <c r="D12" s="5" t="s">
        <v>647</v>
      </c>
      <c r="E12" s="7">
        <v>1534.638</v>
      </c>
      <c r="F12" s="7"/>
      <c r="G12" s="7">
        <v>1.53</v>
      </c>
      <c r="H12" s="7">
        <v>0.51</v>
      </c>
      <c r="I12" s="7">
        <v>1.02</v>
      </c>
      <c r="J12" s="7"/>
      <c r="K12" s="7">
        <v>2348</v>
      </c>
      <c r="L12" s="7">
        <v>783</v>
      </c>
      <c r="M12" s="7">
        <v>1565</v>
      </c>
    </row>
    <row r="13" ht="18" customHeight="1" spans="1:13">
      <c r="A13" s="6" t="s">
        <v>181</v>
      </c>
      <c r="B13" s="6" t="s">
        <v>181</v>
      </c>
      <c r="C13" s="6" t="s">
        <v>652</v>
      </c>
      <c r="D13" s="5" t="s">
        <v>181</v>
      </c>
      <c r="E13" s="7"/>
      <c r="F13" s="7"/>
      <c r="G13" s="7"/>
      <c r="H13" s="7"/>
      <c r="I13" s="7"/>
      <c r="J13" s="7"/>
      <c r="K13" s="7"/>
      <c r="L13" s="7"/>
      <c r="M13" s="7"/>
    </row>
    <row r="14" ht="30.6" customHeight="1" spans="1:13">
      <c r="A14" s="6" t="s">
        <v>181</v>
      </c>
      <c r="B14" s="6" t="s">
        <v>653</v>
      </c>
      <c r="C14" s="6" t="s">
        <v>654</v>
      </c>
      <c r="D14" s="5" t="s">
        <v>647</v>
      </c>
      <c r="E14" s="7">
        <v>7177.755</v>
      </c>
      <c r="F14" s="7"/>
      <c r="G14" s="7">
        <v>113.84</v>
      </c>
      <c r="H14" s="7">
        <v>106.54</v>
      </c>
      <c r="I14" s="7">
        <v>7.3</v>
      </c>
      <c r="J14" s="7"/>
      <c r="K14" s="7">
        <v>817116</v>
      </c>
      <c r="L14" s="7">
        <v>764718</v>
      </c>
      <c r="M14" s="7">
        <v>52398</v>
      </c>
    </row>
    <row r="15" ht="30.6" customHeight="1" spans="1:13">
      <c r="A15" s="6" t="s">
        <v>181</v>
      </c>
      <c r="B15" s="6" t="s">
        <v>655</v>
      </c>
      <c r="C15" s="6" t="s">
        <v>656</v>
      </c>
      <c r="D15" s="5" t="s">
        <v>182</v>
      </c>
      <c r="E15" s="7">
        <v>1463.693</v>
      </c>
      <c r="F15" s="7"/>
      <c r="G15" s="7">
        <v>27.46</v>
      </c>
      <c r="H15" s="7">
        <v>9.59</v>
      </c>
      <c r="I15" s="7">
        <v>17.87</v>
      </c>
      <c r="J15" s="7"/>
      <c r="K15" s="7">
        <v>40193</v>
      </c>
      <c r="L15" s="7">
        <v>14037</v>
      </c>
      <c r="M15" s="7">
        <v>26156</v>
      </c>
    </row>
    <row r="16" ht="30.6" customHeight="1" spans="1:13">
      <c r="A16" s="6" t="s">
        <v>181</v>
      </c>
      <c r="B16" s="6" t="s">
        <v>657</v>
      </c>
      <c r="C16" s="6" t="s">
        <v>658</v>
      </c>
      <c r="D16" s="5" t="s">
        <v>647</v>
      </c>
      <c r="E16" s="7">
        <v>17564.311</v>
      </c>
      <c r="F16" s="7"/>
      <c r="G16" s="7">
        <v>1.16</v>
      </c>
      <c r="H16" s="7">
        <v>0.41</v>
      </c>
      <c r="I16" s="7">
        <v>0.75</v>
      </c>
      <c r="J16" s="7"/>
      <c r="K16" s="7">
        <v>20375</v>
      </c>
      <c r="L16" s="7">
        <v>7201</v>
      </c>
      <c r="M16" s="7">
        <v>13173</v>
      </c>
    </row>
    <row r="17" ht="18" customHeight="1" spans="1:13">
      <c r="A17" s="6" t="s">
        <v>181</v>
      </c>
      <c r="B17" s="6" t="s">
        <v>181</v>
      </c>
      <c r="C17" s="6" t="s">
        <v>659</v>
      </c>
      <c r="D17" s="5" t="s">
        <v>660</v>
      </c>
      <c r="E17" s="7">
        <v>22.6</v>
      </c>
      <c r="F17" s="7"/>
      <c r="G17" s="7">
        <v>772583.01</v>
      </c>
      <c r="H17" s="7">
        <v>772583.01</v>
      </c>
      <c r="I17" s="7"/>
      <c r="J17" s="7"/>
      <c r="K17" s="7">
        <v>174604</v>
      </c>
      <c r="L17" s="7">
        <v>174604</v>
      </c>
      <c r="M17" s="7"/>
    </row>
    <row r="18" ht="18" customHeight="1" spans="1:13">
      <c r="A18" s="6" t="s">
        <v>181</v>
      </c>
      <c r="B18" s="6" t="s">
        <v>181</v>
      </c>
      <c r="C18" s="6" t="s">
        <v>661</v>
      </c>
      <c r="D18" s="5" t="s">
        <v>660</v>
      </c>
      <c r="E18" s="7">
        <v>13</v>
      </c>
      <c r="F18" s="7"/>
      <c r="G18" s="7">
        <v>22722.6</v>
      </c>
      <c r="H18" s="7">
        <v>7984.03</v>
      </c>
      <c r="I18" s="7">
        <v>14738.56</v>
      </c>
      <c r="J18" s="7"/>
      <c r="K18" s="7">
        <v>2954</v>
      </c>
      <c r="L18" s="7">
        <v>1038</v>
      </c>
      <c r="M18" s="7">
        <v>1916</v>
      </c>
    </row>
    <row r="19" ht="18" customHeight="1" spans="1:13">
      <c r="A19" s="6" t="s">
        <v>181</v>
      </c>
      <c r="B19" s="6" t="s">
        <v>181</v>
      </c>
      <c r="C19" s="6" t="s">
        <v>562</v>
      </c>
      <c r="D19" s="5" t="s">
        <v>181</v>
      </c>
      <c r="E19" s="7"/>
      <c r="F19" s="7"/>
      <c r="G19" s="7"/>
      <c r="H19" s="7"/>
      <c r="I19" s="7"/>
      <c r="J19" s="7"/>
      <c r="K19" s="7">
        <v>1071869</v>
      </c>
      <c r="L19" s="7">
        <v>971858</v>
      </c>
      <c r="M19" s="7">
        <v>99087</v>
      </c>
    </row>
    <row r="20" ht="18" customHeight="1" spans="1:13">
      <c r="A20" s="6" t="s">
        <v>181</v>
      </c>
      <c r="B20" s="6" t="s">
        <v>181</v>
      </c>
      <c r="C20" s="6" t="s">
        <v>181</v>
      </c>
      <c r="D20" s="5" t="s">
        <v>181</v>
      </c>
      <c r="E20" s="7"/>
      <c r="F20" s="7"/>
      <c r="G20" s="7"/>
      <c r="H20" s="7"/>
      <c r="I20" s="7"/>
      <c r="J20" s="7"/>
      <c r="K20" s="7"/>
      <c r="L20" s="7"/>
      <c r="M20" s="7"/>
    </row>
    <row r="21" ht="18" customHeight="1" spans="1:13">
      <c r="A21" s="6" t="s">
        <v>181</v>
      </c>
      <c r="B21" s="6" t="s">
        <v>354</v>
      </c>
      <c r="C21" s="6" t="s">
        <v>210</v>
      </c>
      <c r="D21" s="5" t="s">
        <v>181</v>
      </c>
      <c r="E21" s="7">
        <v>100</v>
      </c>
      <c r="F21" s="7"/>
      <c r="G21" s="7">
        <v>1272739.91</v>
      </c>
      <c r="H21" s="7"/>
      <c r="I21" s="7"/>
      <c r="J21" s="7"/>
      <c r="K21" s="7">
        <v>1272740</v>
      </c>
      <c r="L21" s="7"/>
      <c r="M21" s="7"/>
    </row>
    <row r="22" ht="18" customHeight="1" spans="1:13">
      <c r="A22" s="6" t="s">
        <v>181</v>
      </c>
      <c r="B22" s="6" t="s">
        <v>577</v>
      </c>
      <c r="C22" s="6" t="s">
        <v>578</v>
      </c>
      <c r="D22" s="5" t="s">
        <v>181</v>
      </c>
      <c r="E22" s="7">
        <v>100</v>
      </c>
      <c r="F22" s="7"/>
      <c r="G22" s="7">
        <v>1071868.73</v>
      </c>
      <c r="H22" s="7"/>
      <c r="I22" s="7"/>
      <c r="J22" s="7"/>
      <c r="K22" s="7">
        <v>1071869</v>
      </c>
      <c r="L22" s="7"/>
      <c r="M22" s="7"/>
    </row>
    <row r="23" ht="18" customHeight="1" spans="1:13">
      <c r="A23" s="6" t="s">
        <v>181</v>
      </c>
      <c r="B23" s="6" t="s">
        <v>579</v>
      </c>
      <c r="C23" s="6" t="s">
        <v>580</v>
      </c>
      <c r="D23" s="5" t="s">
        <v>181</v>
      </c>
      <c r="E23" s="7">
        <v>100</v>
      </c>
      <c r="F23" s="7"/>
      <c r="G23" s="7">
        <v>1071868.73</v>
      </c>
      <c r="H23" s="7"/>
      <c r="I23" s="7"/>
      <c r="J23" s="7"/>
      <c r="K23" s="7">
        <v>1071869</v>
      </c>
      <c r="L23" s="7"/>
      <c r="M23" s="7"/>
    </row>
    <row r="24" ht="18" customHeight="1" spans="1:13">
      <c r="A24" s="6" t="s">
        <v>181</v>
      </c>
      <c r="B24" s="6" t="s">
        <v>581</v>
      </c>
      <c r="C24" s="6" t="s">
        <v>582</v>
      </c>
      <c r="D24" s="5" t="s">
        <v>181</v>
      </c>
      <c r="E24" s="7">
        <v>100</v>
      </c>
      <c r="F24" s="7"/>
      <c r="G24" s="7">
        <v>971858.19</v>
      </c>
      <c r="H24" s="7"/>
      <c r="I24" s="7"/>
      <c r="J24" s="7"/>
      <c r="K24" s="7">
        <v>971858</v>
      </c>
      <c r="L24" s="7"/>
      <c r="M24" s="7"/>
    </row>
    <row r="25" ht="18" customHeight="1" spans="1:13">
      <c r="A25" s="6" t="s">
        <v>181</v>
      </c>
      <c r="B25" s="6" t="s">
        <v>583</v>
      </c>
      <c r="C25" s="6" t="s">
        <v>584</v>
      </c>
      <c r="D25" s="5" t="s">
        <v>181</v>
      </c>
      <c r="E25" s="7">
        <v>100</v>
      </c>
      <c r="F25" s="7"/>
      <c r="G25" s="7">
        <v>923.34</v>
      </c>
      <c r="H25" s="7"/>
      <c r="I25" s="7"/>
      <c r="J25" s="7"/>
      <c r="K25" s="7">
        <v>923</v>
      </c>
      <c r="L25" s="7"/>
      <c r="M25" s="7"/>
    </row>
    <row r="26" ht="18" customHeight="1" spans="1:13">
      <c r="A26" s="6" t="s">
        <v>181</v>
      </c>
      <c r="B26" s="6" t="s">
        <v>585</v>
      </c>
      <c r="C26" s="6" t="s">
        <v>586</v>
      </c>
      <c r="D26" s="5" t="s">
        <v>181</v>
      </c>
      <c r="E26" s="7">
        <v>100</v>
      </c>
      <c r="F26" s="7"/>
      <c r="G26" s="7">
        <v>99087.19</v>
      </c>
      <c r="H26" s="7"/>
      <c r="I26" s="7"/>
      <c r="J26" s="7"/>
      <c r="K26" s="7">
        <v>99087</v>
      </c>
      <c r="L26" s="7"/>
      <c r="M26" s="7"/>
    </row>
    <row r="27" ht="18" customHeight="1" spans="1:13">
      <c r="A27" s="6" t="s">
        <v>181</v>
      </c>
      <c r="B27" s="6" t="s">
        <v>593</v>
      </c>
      <c r="C27" s="6" t="s">
        <v>258</v>
      </c>
      <c r="D27" s="5" t="s">
        <v>181</v>
      </c>
      <c r="E27" s="7">
        <v>100</v>
      </c>
      <c r="F27" s="7"/>
      <c r="G27" s="7">
        <v>200871.18</v>
      </c>
      <c r="H27" s="7"/>
      <c r="I27" s="7"/>
      <c r="J27" s="7"/>
      <c r="K27" s="7">
        <v>200871</v>
      </c>
      <c r="L27" s="7"/>
      <c r="M27" s="7"/>
    </row>
    <row r="28" ht="18" customHeight="1" spans="1:13">
      <c r="A28" s="6" t="s">
        <v>181</v>
      </c>
      <c r="B28" s="6" t="s">
        <v>594</v>
      </c>
      <c r="C28" s="6" t="s">
        <v>595</v>
      </c>
      <c r="D28" s="5" t="s">
        <v>181</v>
      </c>
      <c r="E28" s="7">
        <v>3.57</v>
      </c>
      <c r="F28" s="7"/>
      <c r="G28" s="7">
        <v>971858.19</v>
      </c>
      <c r="H28" s="7"/>
      <c r="I28" s="7"/>
      <c r="J28" s="7"/>
      <c r="K28" s="7">
        <v>34695</v>
      </c>
      <c r="L28" s="7"/>
      <c r="M28" s="7"/>
    </row>
    <row r="29" ht="18" customHeight="1" spans="1:13">
      <c r="A29" s="6" t="s">
        <v>181</v>
      </c>
      <c r="B29" s="6" t="s">
        <v>598</v>
      </c>
      <c r="C29" s="6" t="s">
        <v>599</v>
      </c>
      <c r="D29" s="5" t="s">
        <v>181</v>
      </c>
      <c r="E29" s="7">
        <v>3.82</v>
      </c>
      <c r="F29" s="7"/>
      <c r="G29" s="7">
        <v>971858.19</v>
      </c>
      <c r="H29" s="7"/>
      <c r="I29" s="7"/>
      <c r="J29" s="7"/>
      <c r="K29" s="7">
        <v>37125</v>
      </c>
      <c r="L29" s="7"/>
      <c r="M29" s="7"/>
    </row>
    <row r="30" ht="18" customHeight="1" spans="1:13">
      <c r="A30" s="6" t="s">
        <v>181</v>
      </c>
      <c r="B30" s="6" t="s">
        <v>602</v>
      </c>
      <c r="C30" s="6" t="s">
        <v>76</v>
      </c>
      <c r="D30" s="5" t="s">
        <v>181</v>
      </c>
      <c r="E30" s="7">
        <v>6.35</v>
      </c>
      <c r="F30" s="7"/>
      <c r="G30" s="7">
        <v>1071868.73</v>
      </c>
      <c r="H30" s="7"/>
      <c r="I30" s="7"/>
      <c r="J30" s="7"/>
      <c r="K30" s="7">
        <v>68064</v>
      </c>
      <c r="L30" s="7"/>
      <c r="M30" s="7"/>
    </row>
    <row r="31" ht="18" customHeight="1" spans="1:13">
      <c r="A31" s="6" t="s">
        <v>181</v>
      </c>
      <c r="B31" s="6" t="s">
        <v>603</v>
      </c>
      <c r="C31" s="6" t="s">
        <v>604</v>
      </c>
      <c r="D31" s="5" t="s">
        <v>181</v>
      </c>
      <c r="E31" s="7">
        <v>2.36</v>
      </c>
      <c r="F31" s="7"/>
      <c r="G31" s="7">
        <v>971858.19</v>
      </c>
      <c r="H31" s="7"/>
      <c r="I31" s="7"/>
      <c r="J31" s="7"/>
      <c r="K31" s="7">
        <v>22936</v>
      </c>
      <c r="L31" s="7"/>
      <c r="M31" s="7"/>
    </row>
    <row r="32" ht="18" customHeight="1" spans="1:13">
      <c r="A32" s="6" t="s">
        <v>181</v>
      </c>
      <c r="B32" s="6" t="s">
        <v>605</v>
      </c>
      <c r="C32" s="6" t="s">
        <v>213</v>
      </c>
      <c r="D32" s="5" t="s">
        <v>181</v>
      </c>
      <c r="E32" s="7">
        <v>3.55</v>
      </c>
      <c r="F32" s="7"/>
      <c r="G32" s="7">
        <v>1071868.73</v>
      </c>
      <c r="H32" s="7"/>
      <c r="I32" s="7"/>
      <c r="J32" s="7"/>
      <c r="K32" s="7">
        <v>38051</v>
      </c>
      <c r="L32" s="7"/>
      <c r="M32" s="7"/>
    </row>
    <row r="33" ht="18" customHeight="1" spans="1:13">
      <c r="A33" s="6" t="s">
        <v>181</v>
      </c>
      <c r="B33" s="6" t="s">
        <v>606</v>
      </c>
      <c r="C33" s="6" t="s">
        <v>607</v>
      </c>
      <c r="D33" s="5" t="s">
        <v>181</v>
      </c>
      <c r="E33" s="7">
        <v>100</v>
      </c>
      <c r="F33" s="7"/>
      <c r="G33" s="7">
        <v>721158.44</v>
      </c>
      <c r="H33" s="7"/>
      <c r="I33" s="7"/>
      <c r="J33" s="7"/>
      <c r="K33" s="7">
        <v>721158</v>
      </c>
      <c r="L33" s="7"/>
      <c r="M33" s="7"/>
    </row>
    <row r="34" ht="18" customHeight="1" spans="1:13">
      <c r="A34" s="6" t="s">
        <v>181</v>
      </c>
      <c r="B34" s="6" t="s">
        <v>577</v>
      </c>
      <c r="C34" s="6" t="s">
        <v>608</v>
      </c>
      <c r="D34" s="5" t="s">
        <v>181</v>
      </c>
      <c r="E34" s="7">
        <v>100</v>
      </c>
      <c r="F34" s="7"/>
      <c r="G34" s="7">
        <v>362260.14</v>
      </c>
      <c r="H34" s="7"/>
      <c r="I34" s="7"/>
      <c r="J34" s="7"/>
      <c r="K34" s="7">
        <v>362260</v>
      </c>
      <c r="L34" s="7"/>
      <c r="M34" s="7"/>
    </row>
    <row r="35" ht="18" customHeight="1" spans="1:13">
      <c r="A35" s="6" t="s">
        <v>181</v>
      </c>
      <c r="B35" s="6" t="s">
        <v>579</v>
      </c>
      <c r="C35" s="6" t="s">
        <v>609</v>
      </c>
      <c r="D35" s="5" t="s">
        <v>181</v>
      </c>
      <c r="E35" s="7">
        <v>23.5</v>
      </c>
      <c r="F35" s="7"/>
      <c r="G35" s="7">
        <v>1020451.1</v>
      </c>
      <c r="H35" s="7"/>
      <c r="I35" s="7"/>
      <c r="J35" s="7"/>
      <c r="K35" s="7">
        <v>239806</v>
      </c>
      <c r="L35" s="7"/>
      <c r="M35" s="7"/>
    </row>
    <row r="36" ht="18" customHeight="1" spans="1:13">
      <c r="A36" s="6" t="s">
        <v>181</v>
      </c>
      <c r="B36" s="6" t="s">
        <v>587</v>
      </c>
      <c r="C36" s="6" t="s">
        <v>610</v>
      </c>
      <c r="D36" s="5" t="s">
        <v>181</v>
      </c>
      <c r="E36" s="7">
        <v>12</v>
      </c>
      <c r="F36" s="7"/>
      <c r="G36" s="7">
        <v>1020451.1</v>
      </c>
      <c r="H36" s="7"/>
      <c r="I36" s="7"/>
      <c r="J36" s="7"/>
      <c r="K36" s="7">
        <v>122454</v>
      </c>
      <c r="L36" s="7"/>
      <c r="M36" s="7"/>
    </row>
    <row r="37" ht="18" customHeight="1" spans="1:13">
      <c r="A37" s="6" t="s">
        <v>181</v>
      </c>
      <c r="B37" s="6" t="s">
        <v>593</v>
      </c>
      <c r="C37" s="6" t="s">
        <v>611</v>
      </c>
      <c r="D37" s="5" t="s">
        <v>181</v>
      </c>
      <c r="E37" s="7">
        <v>35.76</v>
      </c>
      <c r="F37" s="7"/>
      <c r="G37" s="7">
        <v>971858.19</v>
      </c>
      <c r="H37" s="7"/>
      <c r="I37" s="7"/>
      <c r="J37" s="7"/>
      <c r="K37" s="7">
        <v>347536</v>
      </c>
      <c r="L37" s="7"/>
      <c r="M37" s="7"/>
    </row>
    <row r="38" ht="18" customHeight="1" spans="1:13">
      <c r="A38" s="6" t="s">
        <v>181</v>
      </c>
      <c r="B38" s="6" t="s">
        <v>612</v>
      </c>
      <c r="C38" s="6" t="s">
        <v>613</v>
      </c>
      <c r="D38" s="5" t="s">
        <v>181</v>
      </c>
      <c r="E38" s="7">
        <v>1.06</v>
      </c>
      <c r="F38" s="7"/>
      <c r="G38" s="7">
        <v>1071868.73</v>
      </c>
      <c r="H38" s="7"/>
      <c r="I38" s="7"/>
      <c r="J38" s="7"/>
      <c r="K38" s="7">
        <v>11362</v>
      </c>
      <c r="L38" s="7"/>
      <c r="M38" s="7"/>
    </row>
    <row r="39" ht="18" customHeight="1" spans="1:13">
      <c r="A39" s="6" t="s">
        <v>181</v>
      </c>
      <c r="B39" s="6" t="s">
        <v>614</v>
      </c>
      <c r="C39" s="6" t="s">
        <v>615</v>
      </c>
      <c r="D39" s="5" t="s">
        <v>181</v>
      </c>
      <c r="E39" s="7">
        <v>5</v>
      </c>
      <c r="F39" s="7"/>
      <c r="G39" s="7">
        <v>1993898.35</v>
      </c>
      <c r="H39" s="7"/>
      <c r="I39" s="7"/>
      <c r="J39" s="7"/>
      <c r="K39" s="7">
        <v>99695</v>
      </c>
      <c r="L39" s="7"/>
      <c r="M39" s="7"/>
    </row>
    <row r="40" ht="18" customHeight="1" spans="1:13">
      <c r="A40" s="6" t="s">
        <v>181</v>
      </c>
      <c r="B40" s="6" t="s">
        <v>616</v>
      </c>
      <c r="C40" s="6" t="s">
        <v>617</v>
      </c>
      <c r="D40" s="5" t="s">
        <v>181</v>
      </c>
      <c r="E40" s="7">
        <v>100</v>
      </c>
      <c r="F40" s="7"/>
      <c r="G40" s="7">
        <v>108613.44</v>
      </c>
      <c r="H40" s="7"/>
      <c r="I40" s="7"/>
      <c r="J40" s="7"/>
      <c r="K40" s="7">
        <v>108613</v>
      </c>
      <c r="L40" s="7"/>
      <c r="M40" s="7"/>
    </row>
    <row r="41" ht="18" customHeight="1" spans="1:13">
      <c r="A41" s="6" t="s">
        <v>181</v>
      </c>
      <c r="B41" s="6" t="s">
        <v>577</v>
      </c>
      <c r="C41" s="6" t="s">
        <v>618</v>
      </c>
      <c r="D41" s="5" t="s">
        <v>181</v>
      </c>
      <c r="E41" s="7">
        <v>100</v>
      </c>
      <c r="F41" s="7"/>
      <c r="G41" s="7">
        <v>103502.9</v>
      </c>
      <c r="H41" s="7"/>
      <c r="I41" s="7"/>
      <c r="J41" s="7"/>
      <c r="K41" s="7">
        <v>103503</v>
      </c>
      <c r="L41" s="7"/>
      <c r="M41" s="7"/>
    </row>
    <row r="42" ht="18" customHeight="1" spans="1:13">
      <c r="A42" s="6" t="s">
        <v>181</v>
      </c>
      <c r="B42" s="6" t="s">
        <v>593</v>
      </c>
      <c r="C42" s="6" t="s">
        <v>619</v>
      </c>
      <c r="D42" s="5" t="s">
        <v>181</v>
      </c>
      <c r="E42" s="7">
        <v>100</v>
      </c>
      <c r="F42" s="7"/>
      <c r="G42" s="7">
        <v>47.18</v>
      </c>
      <c r="H42" s="7"/>
      <c r="I42" s="7"/>
      <c r="J42" s="7"/>
      <c r="K42" s="7">
        <v>47</v>
      </c>
      <c r="L42" s="7"/>
      <c r="M42" s="7"/>
    </row>
    <row r="43" ht="18" customHeight="1" spans="1:13">
      <c r="A43" s="6" t="s">
        <v>181</v>
      </c>
      <c r="B43" s="6" t="s">
        <v>612</v>
      </c>
      <c r="C43" s="6" t="s">
        <v>620</v>
      </c>
      <c r="D43" s="5" t="s">
        <v>181</v>
      </c>
      <c r="E43" s="7">
        <v>100</v>
      </c>
      <c r="F43" s="7"/>
      <c r="G43" s="7">
        <v>5063.36</v>
      </c>
      <c r="H43" s="7"/>
      <c r="I43" s="7"/>
      <c r="J43" s="7"/>
      <c r="K43" s="7">
        <v>5063</v>
      </c>
      <c r="L43" s="7"/>
      <c r="M43" s="7"/>
    </row>
    <row r="44" ht="18" customHeight="1" spans="1:13">
      <c r="A44" s="6" t="s">
        <v>181</v>
      </c>
      <c r="B44" s="6" t="s">
        <v>627</v>
      </c>
      <c r="C44" s="6" t="s">
        <v>216</v>
      </c>
      <c r="D44" s="5" t="s">
        <v>181</v>
      </c>
      <c r="E44" s="7">
        <v>9</v>
      </c>
      <c r="F44" s="7"/>
      <c r="G44" s="7">
        <v>2202206.7</v>
      </c>
      <c r="H44" s="7"/>
      <c r="I44" s="7"/>
      <c r="J44" s="7"/>
      <c r="K44" s="7">
        <v>198199</v>
      </c>
      <c r="L44" s="7"/>
      <c r="M44" s="7"/>
    </row>
    <row r="45" ht="18" customHeight="1" spans="1:13">
      <c r="A45" s="6" t="s">
        <v>181</v>
      </c>
      <c r="B45" s="6" t="s">
        <v>662</v>
      </c>
      <c r="C45" s="6" t="s">
        <v>640</v>
      </c>
      <c r="D45" s="5" t="s">
        <v>181</v>
      </c>
      <c r="E45" s="7">
        <v>100</v>
      </c>
      <c r="F45" s="7"/>
      <c r="G45" s="7">
        <v>2400405.31</v>
      </c>
      <c r="H45" s="7"/>
      <c r="I45" s="7"/>
      <c r="J45" s="7"/>
      <c r="K45" s="7">
        <v>2400405</v>
      </c>
      <c r="L45" s="7"/>
      <c r="M45" s="7"/>
    </row>
    <row r="46" ht="18" customHeight="1" spans="1:13">
      <c r="A46" s="6" t="s">
        <v>181</v>
      </c>
      <c r="B46" s="6" t="s">
        <v>631</v>
      </c>
      <c r="C46" s="6" t="s">
        <v>100</v>
      </c>
      <c r="D46" s="5" t="s">
        <v>181</v>
      </c>
      <c r="E46" s="7">
        <v>100</v>
      </c>
      <c r="F46" s="7"/>
      <c r="G46" s="7">
        <v>2400405.31</v>
      </c>
      <c r="H46" s="7"/>
      <c r="I46" s="7"/>
      <c r="J46" s="7"/>
      <c r="K46" s="7">
        <v>2400405</v>
      </c>
      <c r="L46" s="7"/>
      <c r="M46" s="7"/>
    </row>
    <row r="47" ht="18" customHeight="1" spans="1:13">
      <c r="A47" s="6" t="s">
        <v>181</v>
      </c>
      <c r="B47" s="6" t="s">
        <v>663</v>
      </c>
      <c r="C47" s="6" t="s">
        <v>173</v>
      </c>
      <c r="D47" s="5" t="s">
        <v>181</v>
      </c>
      <c r="E47" s="7">
        <v>100</v>
      </c>
      <c r="F47" s="7"/>
      <c r="G47" s="7">
        <v>2400405.31</v>
      </c>
      <c r="H47" s="7"/>
      <c r="I47" s="7"/>
      <c r="J47" s="7"/>
      <c r="K47" s="7">
        <v>2400405</v>
      </c>
      <c r="L47" s="7"/>
      <c r="M47" s="7"/>
    </row>
    <row r="48" ht="18" customHeight="1" spans="1:13">
      <c r="A48" s="6" t="s">
        <v>181</v>
      </c>
      <c r="B48" s="6" t="s">
        <v>181</v>
      </c>
      <c r="C48" s="6" t="s">
        <v>181</v>
      </c>
      <c r="D48" s="5" t="s">
        <v>181</v>
      </c>
      <c r="E48" s="7"/>
      <c r="F48" s="7"/>
      <c r="G48" s="7"/>
      <c r="H48" s="7"/>
      <c r="I48" s="7"/>
      <c r="J48" s="7"/>
      <c r="K48" s="7"/>
      <c r="L48" s="7"/>
      <c r="M48" s="7"/>
    </row>
    <row r="49" ht="30.6" customHeight="1" spans="1:13">
      <c r="A49" s="6" t="s">
        <v>587</v>
      </c>
      <c r="B49" s="6" t="s">
        <v>181</v>
      </c>
      <c r="C49" s="6" t="s">
        <v>664</v>
      </c>
      <c r="D49" s="5" t="s">
        <v>181</v>
      </c>
      <c r="E49" s="7"/>
      <c r="F49" s="7"/>
      <c r="G49" s="7"/>
      <c r="H49" s="7"/>
      <c r="I49" s="7"/>
      <c r="J49" s="7"/>
      <c r="K49" s="7">
        <v>968492</v>
      </c>
      <c r="L49" s="7">
        <v>315753</v>
      </c>
      <c r="M49" s="7">
        <v>96785</v>
      </c>
    </row>
    <row r="50" ht="30.6" customHeight="1" spans="1:13">
      <c r="A50" s="6" t="s">
        <v>181</v>
      </c>
      <c r="B50" s="6" t="s">
        <v>181</v>
      </c>
      <c r="C50" s="6" t="s">
        <v>665</v>
      </c>
      <c r="D50" s="5" t="s">
        <v>181</v>
      </c>
      <c r="E50" s="7"/>
      <c r="F50" s="7"/>
      <c r="G50" s="7"/>
      <c r="H50" s="7"/>
      <c r="I50" s="7"/>
      <c r="J50" s="7"/>
      <c r="K50" s="7"/>
      <c r="L50" s="7"/>
      <c r="M50" s="7"/>
    </row>
    <row r="51" ht="30.6" customHeight="1" spans="1:13">
      <c r="A51" s="6" t="s">
        <v>181</v>
      </c>
      <c r="B51" s="6" t="s">
        <v>666</v>
      </c>
      <c r="C51" s="6" t="s">
        <v>667</v>
      </c>
      <c r="D51" s="5" t="s">
        <v>360</v>
      </c>
      <c r="E51" s="7">
        <v>31</v>
      </c>
      <c r="F51" s="7"/>
      <c r="G51" s="7">
        <v>76.56</v>
      </c>
      <c r="H51" s="7">
        <v>41.76</v>
      </c>
      <c r="I51" s="7">
        <v>2.58</v>
      </c>
      <c r="J51" s="7"/>
      <c r="K51" s="7">
        <v>2373</v>
      </c>
      <c r="L51" s="7">
        <v>1295</v>
      </c>
      <c r="M51" s="7">
        <v>80</v>
      </c>
    </row>
    <row r="52" ht="18" customHeight="1" spans="1:13">
      <c r="A52" s="6" t="s">
        <v>181</v>
      </c>
      <c r="B52" s="6" t="s">
        <v>668</v>
      </c>
      <c r="C52" s="6" t="s">
        <v>669</v>
      </c>
      <c r="D52" s="5" t="s">
        <v>360</v>
      </c>
      <c r="E52" s="7">
        <v>30</v>
      </c>
      <c r="F52" s="7"/>
      <c r="G52" s="7">
        <v>103.96</v>
      </c>
      <c r="H52" s="7">
        <v>62.62</v>
      </c>
      <c r="I52" s="7">
        <v>3.74</v>
      </c>
      <c r="J52" s="7"/>
      <c r="K52" s="7">
        <v>3119</v>
      </c>
      <c r="L52" s="7">
        <v>1879</v>
      </c>
      <c r="M52" s="7">
        <v>112</v>
      </c>
    </row>
    <row r="53" ht="44.1" customHeight="1" spans="1:13">
      <c r="A53" s="6" t="s">
        <v>181</v>
      </c>
      <c r="B53" s="6" t="s">
        <v>181</v>
      </c>
      <c r="C53" s="6" t="s">
        <v>670</v>
      </c>
      <c r="D53" s="5" t="s">
        <v>181</v>
      </c>
      <c r="E53" s="7"/>
      <c r="F53" s="7"/>
      <c r="G53" s="7"/>
      <c r="H53" s="7"/>
      <c r="I53" s="7"/>
      <c r="J53" s="7"/>
      <c r="K53" s="7"/>
      <c r="L53" s="7"/>
      <c r="M53" s="7"/>
    </row>
    <row r="54" ht="18" customHeight="1" spans="1:13">
      <c r="A54" s="6" t="s">
        <v>181</v>
      </c>
      <c r="B54" s="6" t="s">
        <v>671</v>
      </c>
      <c r="C54" s="6" t="s">
        <v>672</v>
      </c>
      <c r="D54" s="5" t="s">
        <v>200</v>
      </c>
      <c r="E54" s="7">
        <v>3261.44</v>
      </c>
      <c r="F54" s="7"/>
      <c r="G54" s="7">
        <v>93.43</v>
      </c>
      <c r="H54" s="7">
        <v>49.15</v>
      </c>
      <c r="I54" s="7">
        <v>24.8</v>
      </c>
      <c r="J54" s="7"/>
      <c r="K54" s="7">
        <v>304716</v>
      </c>
      <c r="L54" s="7">
        <v>160300</v>
      </c>
      <c r="M54" s="7">
        <v>80884</v>
      </c>
    </row>
    <row r="55" ht="57.6" customHeight="1" spans="1:13">
      <c r="A55" s="6" t="s">
        <v>181</v>
      </c>
      <c r="B55" s="6" t="s">
        <v>181</v>
      </c>
      <c r="C55" s="6" t="s">
        <v>673</v>
      </c>
      <c r="D55" s="5" t="s">
        <v>181</v>
      </c>
      <c r="E55" s="7"/>
      <c r="F55" s="7"/>
      <c r="G55" s="7"/>
      <c r="H55" s="7"/>
      <c r="I55" s="7"/>
      <c r="J55" s="7"/>
      <c r="K55" s="7"/>
      <c r="L55" s="7"/>
      <c r="M55" s="7"/>
    </row>
    <row r="56" ht="57.6" customHeight="1" spans="1:13">
      <c r="A56" s="6" t="s">
        <v>181</v>
      </c>
      <c r="B56" s="6" t="s">
        <v>674</v>
      </c>
      <c r="C56" s="6" t="s">
        <v>675</v>
      </c>
      <c r="D56" s="5" t="s">
        <v>200</v>
      </c>
      <c r="E56" s="7">
        <v>2176.514</v>
      </c>
      <c r="F56" s="7"/>
      <c r="G56" s="7">
        <v>53.47</v>
      </c>
      <c r="H56" s="7">
        <v>44.09</v>
      </c>
      <c r="I56" s="7">
        <v>4.94</v>
      </c>
      <c r="J56" s="7"/>
      <c r="K56" s="7">
        <v>116378</v>
      </c>
      <c r="L56" s="7">
        <v>95963</v>
      </c>
      <c r="M56" s="7">
        <v>10752</v>
      </c>
    </row>
    <row r="57" ht="18" customHeight="1" spans="1:13">
      <c r="A57" s="6" t="s">
        <v>181</v>
      </c>
      <c r="B57" s="6" t="s">
        <v>676</v>
      </c>
      <c r="C57" s="6" t="s">
        <v>677</v>
      </c>
      <c r="D57" s="5" t="s">
        <v>200</v>
      </c>
      <c r="E57" s="7">
        <v>508.994</v>
      </c>
      <c r="F57" s="7"/>
      <c r="G57" s="7">
        <v>92.44</v>
      </c>
      <c r="H57" s="7">
        <v>77.47</v>
      </c>
      <c r="I57" s="7">
        <v>9.74</v>
      </c>
      <c r="J57" s="7"/>
      <c r="K57" s="7">
        <v>47051</v>
      </c>
      <c r="L57" s="7">
        <v>39432</v>
      </c>
      <c r="M57" s="7">
        <v>4958</v>
      </c>
    </row>
    <row r="58" ht="30.6" customHeight="1" spans="1:13">
      <c r="A58" s="6" t="s">
        <v>181</v>
      </c>
      <c r="B58" s="6" t="s">
        <v>181</v>
      </c>
      <c r="C58" s="6" t="s">
        <v>678</v>
      </c>
      <c r="D58" s="5" t="s">
        <v>660</v>
      </c>
      <c r="E58" s="7">
        <v>5.65</v>
      </c>
      <c r="F58" s="7"/>
      <c r="G58" s="7">
        <v>298867.2</v>
      </c>
      <c r="H58" s="7">
        <v>298867.2</v>
      </c>
      <c r="I58" s="7"/>
      <c r="J58" s="7"/>
      <c r="K58" s="7">
        <v>16886</v>
      </c>
      <c r="L58" s="7">
        <v>16886</v>
      </c>
      <c r="M58" s="7"/>
    </row>
    <row r="59" ht="30.6" customHeight="1" spans="1:13">
      <c r="A59" s="6" t="s">
        <v>181</v>
      </c>
      <c r="B59" s="6" t="s">
        <v>181</v>
      </c>
      <c r="C59" s="6" t="s">
        <v>562</v>
      </c>
      <c r="D59" s="5" t="s">
        <v>181</v>
      </c>
      <c r="E59" s="7"/>
      <c r="F59" s="7"/>
      <c r="G59" s="7"/>
      <c r="H59" s="7"/>
      <c r="I59" s="7"/>
      <c r="J59" s="7"/>
      <c r="K59" s="7">
        <v>490524</v>
      </c>
      <c r="L59" s="7">
        <v>315753</v>
      </c>
      <c r="M59" s="7">
        <v>96785</v>
      </c>
    </row>
    <row r="60" ht="18" customHeight="1" spans="1:13">
      <c r="A60" s="6" t="s">
        <v>181</v>
      </c>
      <c r="B60" s="6" t="s">
        <v>181</v>
      </c>
      <c r="C60" s="6" t="s">
        <v>181</v>
      </c>
      <c r="D60" s="5" t="s">
        <v>181</v>
      </c>
      <c r="E60" s="7"/>
      <c r="F60" s="7"/>
      <c r="G60" s="7"/>
      <c r="H60" s="7"/>
      <c r="I60" s="7"/>
      <c r="J60" s="7"/>
      <c r="K60" s="7"/>
      <c r="L60" s="7"/>
      <c r="M60" s="7"/>
    </row>
    <row r="61" ht="18" customHeight="1" spans="1:13">
      <c r="A61" s="6" t="s">
        <v>181</v>
      </c>
      <c r="B61" s="6" t="s">
        <v>354</v>
      </c>
      <c r="C61" s="6" t="s">
        <v>210</v>
      </c>
      <c r="D61" s="5" t="s">
        <v>181</v>
      </c>
      <c r="E61" s="7">
        <v>100</v>
      </c>
      <c r="F61" s="7"/>
      <c r="G61" s="7">
        <v>569871.93</v>
      </c>
      <c r="H61" s="7"/>
      <c r="I61" s="7"/>
      <c r="J61" s="7"/>
      <c r="K61" s="7">
        <v>569872</v>
      </c>
      <c r="L61" s="7"/>
      <c r="M61" s="7"/>
    </row>
    <row r="62" ht="18" customHeight="1" spans="1:13">
      <c r="A62" s="6" t="s">
        <v>181</v>
      </c>
      <c r="B62" s="6" t="s">
        <v>577</v>
      </c>
      <c r="C62" s="6" t="s">
        <v>578</v>
      </c>
      <c r="D62" s="5" t="s">
        <v>181</v>
      </c>
      <c r="E62" s="7">
        <v>100</v>
      </c>
      <c r="F62" s="7"/>
      <c r="G62" s="7">
        <v>490524.11</v>
      </c>
      <c r="H62" s="7"/>
      <c r="I62" s="7"/>
      <c r="J62" s="7"/>
      <c r="K62" s="7">
        <v>490524</v>
      </c>
      <c r="L62" s="7"/>
      <c r="M62" s="7"/>
    </row>
    <row r="63" ht="18" customHeight="1" spans="1:13">
      <c r="A63" s="6" t="s">
        <v>181</v>
      </c>
      <c r="B63" s="6" t="s">
        <v>579</v>
      </c>
      <c r="C63" s="6" t="s">
        <v>580</v>
      </c>
      <c r="D63" s="5" t="s">
        <v>181</v>
      </c>
      <c r="E63" s="7">
        <v>100</v>
      </c>
      <c r="F63" s="7"/>
      <c r="G63" s="7">
        <v>490524.11</v>
      </c>
      <c r="H63" s="7"/>
      <c r="I63" s="7"/>
      <c r="J63" s="7"/>
      <c r="K63" s="7">
        <v>490524</v>
      </c>
      <c r="L63" s="7"/>
      <c r="M63" s="7"/>
    </row>
    <row r="64" ht="18" customHeight="1" spans="1:13">
      <c r="A64" s="6" t="s">
        <v>181</v>
      </c>
      <c r="B64" s="6" t="s">
        <v>581</v>
      </c>
      <c r="C64" s="6" t="s">
        <v>582</v>
      </c>
      <c r="D64" s="5" t="s">
        <v>181</v>
      </c>
      <c r="E64" s="7">
        <v>100</v>
      </c>
      <c r="F64" s="7"/>
      <c r="G64" s="7">
        <v>315753.2</v>
      </c>
      <c r="H64" s="7"/>
      <c r="I64" s="7"/>
      <c r="J64" s="7"/>
      <c r="K64" s="7">
        <v>315753</v>
      </c>
      <c r="L64" s="7"/>
      <c r="M64" s="7"/>
    </row>
    <row r="65" ht="18" customHeight="1" spans="1:13">
      <c r="A65" s="6" t="s">
        <v>181</v>
      </c>
      <c r="B65" s="6" t="s">
        <v>583</v>
      </c>
      <c r="C65" s="6" t="s">
        <v>584</v>
      </c>
      <c r="D65" s="5" t="s">
        <v>181</v>
      </c>
      <c r="E65" s="7">
        <v>100</v>
      </c>
      <c r="F65" s="7"/>
      <c r="G65" s="7">
        <v>77985.43</v>
      </c>
      <c r="H65" s="7"/>
      <c r="I65" s="7"/>
      <c r="J65" s="7"/>
      <c r="K65" s="7">
        <v>77985</v>
      </c>
      <c r="L65" s="7"/>
      <c r="M65" s="7"/>
    </row>
    <row r="66" ht="18" customHeight="1" spans="1:13">
      <c r="A66" s="6" t="s">
        <v>181</v>
      </c>
      <c r="B66" s="6" t="s">
        <v>585</v>
      </c>
      <c r="C66" s="6" t="s">
        <v>586</v>
      </c>
      <c r="D66" s="5" t="s">
        <v>181</v>
      </c>
      <c r="E66" s="7">
        <v>100</v>
      </c>
      <c r="F66" s="7"/>
      <c r="G66" s="7">
        <v>96785.47</v>
      </c>
      <c r="H66" s="7"/>
      <c r="I66" s="7"/>
      <c r="J66" s="7"/>
      <c r="K66" s="7">
        <v>96785</v>
      </c>
      <c r="L66" s="7"/>
      <c r="M66" s="7"/>
    </row>
    <row r="67" ht="18" customHeight="1" spans="1:13">
      <c r="A67" s="6" t="s">
        <v>181</v>
      </c>
      <c r="B67" s="6" t="s">
        <v>593</v>
      </c>
      <c r="C67" s="6" t="s">
        <v>258</v>
      </c>
      <c r="D67" s="5" t="s">
        <v>181</v>
      </c>
      <c r="E67" s="7">
        <v>100</v>
      </c>
      <c r="F67" s="7"/>
      <c r="G67" s="7">
        <v>79347.82</v>
      </c>
      <c r="H67" s="7"/>
      <c r="I67" s="7"/>
      <c r="J67" s="7"/>
      <c r="K67" s="7">
        <v>79348</v>
      </c>
      <c r="L67" s="7"/>
      <c r="M67" s="7"/>
    </row>
    <row r="68" ht="18" customHeight="1" spans="1:13">
      <c r="A68" s="6" t="s">
        <v>181</v>
      </c>
      <c r="B68" s="6" t="s">
        <v>594</v>
      </c>
      <c r="C68" s="6" t="s">
        <v>595</v>
      </c>
      <c r="D68" s="5" t="s">
        <v>181</v>
      </c>
      <c r="E68" s="7">
        <v>3.57</v>
      </c>
      <c r="F68" s="7"/>
      <c r="G68" s="7">
        <v>315753.2</v>
      </c>
      <c r="H68" s="7"/>
      <c r="I68" s="7"/>
      <c r="J68" s="7"/>
      <c r="K68" s="7">
        <v>11272</v>
      </c>
      <c r="L68" s="7"/>
      <c r="M68" s="7"/>
    </row>
    <row r="69" ht="18" customHeight="1" spans="1:13">
      <c r="A69" s="6" t="s">
        <v>181</v>
      </c>
      <c r="B69" s="6" t="s">
        <v>598</v>
      </c>
      <c r="C69" s="6" t="s">
        <v>599</v>
      </c>
      <c r="D69" s="5" t="s">
        <v>181</v>
      </c>
      <c r="E69" s="7">
        <v>3.82</v>
      </c>
      <c r="F69" s="7"/>
      <c r="G69" s="7">
        <v>315753.2</v>
      </c>
      <c r="H69" s="7"/>
      <c r="I69" s="7"/>
      <c r="J69" s="7"/>
      <c r="K69" s="7">
        <v>12062</v>
      </c>
      <c r="L69" s="7"/>
      <c r="M69" s="7"/>
    </row>
    <row r="70" ht="18" customHeight="1" spans="1:13">
      <c r="A70" s="6" t="s">
        <v>181</v>
      </c>
      <c r="B70" s="6" t="s">
        <v>602</v>
      </c>
      <c r="C70" s="6" t="s">
        <v>76</v>
      </c>
      <c r="D70" s="5" t="s">
        <v>181</v>
      </c>
      <c r="E70" s="7">
        <v>6.35</v>
      </c>
      <c r="F70" s="7"/>
      <c r="G70" s="7">
        <v>490524.11</v>
      </c>
      <c r="H70" s="7"/>
      <c r="I70" s="7"/>
      <c r="J70" s="7"/>
      <c r="K70" s="7">
        <v>31148</v>
      </c>
      <c r="L70" s="7"/>
      <c r="M70" s="7"/>
    </row>
    <row r="71" ht="18" customHeight="1" spans="1:13">
      <c r="A71" s="6" t="s">
        <v>181</v>
      </c>
      <c r="B71" s="6" t="s">
        <v>603</v>
      </c>
      <c r="C71" s="6" t="s">
        <v>604</v>
      </c>
      <c r="D71" s="5" t="s">
        <v>181</v>
      </c>
      <c r="E71" s="7">
        <v>2.36</v>
      </c>
      <c r="F71" s="7"/>
      <c r="G71" s="7">
        <v>315753.2</v>
      </c>
      <c r="H71" s="7"/>
      <c r="I71" s="7"/>
      <c r="J71" s="7"/>
      <c r="K71" s="7">
        <v>7452</v>
      </c>
      <c r="L71" s="7"/>
      <c r="M71" s="7"/>
    </row>
    <row r="72" ht="18" customHeight="1" spans="1:13">
      <c r="A72" s="6" t="s">
        <v>181</v>
      </c>
      <c r="B72" s="6" t="s">
        <v>605</v>
      </c>
      <c r="C72" s="6" t="s">
        <v>213</v>
      </c>
      <c r="D72" s="5" t="s">
        <v>181</v>
      </c>
      <c r="E72" s="7">
        <v>3.55</v>
      </c>
      <c r="F72" s="7"/>
      <c r="G72" s="7">
        <v>490524.11</v>
      </c>
      <c r="H72" s="7"/>
      <c r="I72" s="7"/>
      <c r="J72" s="7"/>
      <c r="K72" s="7">
        <v>17414</v>
      </c>
      <c r="L72" s="7"/>
      <c r="M72" s="7"/>
    </row>
    <row r="73" ht="18" customHeight="1" spans="1:13">
      <c r="A73" s="6" t="s">
        <v>181</v>
      </c>
      <c r="B73" s="6" t="s">
        <v>606</v>
      </c>
      <c r="C73" s="6" t="s">
        <v>607</v>
      </c>
      <c r="D73" s="5" t="s">
        <v>181</v>
      </c>
      <c r="E73" s="7">
        <v>100</v>
      </c>
      <c r="F73" s="7"/>
      <c r="G73" s="7">
        <v>235809.91</v>
      </c>
      <c r="H73" s="7"/>
      <c r="I73" s="7"/>
      <c r="J73" s="7"/>
      <c r="K73" s="7">
        <v>235810</v>
      </c>
      <c r="L73" s="7"/>
      <c r="M73" s="7"/>
    </row>
    <row r="74" ht="18" customHeight="1" spans="1:13">
      <c r="A74" s="6" t="s">
        <v>181</v>
      </c>
      <c r="B74" s="6" t="s">
        <v>577</v>
      </c>
      <c r="C74" s="6" t="s">
        <v>608</v>
      </c>
      <c r="D74" s="5" t="s">
        <v>181</v>
      </c>
      <c r="E74" s="7">
        <v>100</v>
      </c>
      <c r="F74" s="7"/>
      <c r="G74" s="7">
        <v>117697.01</v>
      </c>
      <c r="H74" s="7"/>
      <c r="I74" s="7"/>
      <c r="J74" s="7"/>
      <c r="K74" s="7">
        <v>117697</v>
      </c>
      <c r="L74" s="7"/>
      <c r="M74" s="7"/>
    </row>
    <row r="75" ht="18" customHeight="1" spans="1:13">
      <c r="A75" s="6" t="s">
        <v>181</v>
      </c>
      <c r="B75" s="6" t="s">
        <v>579</v>
      </c>
      <c r="C75" s="6" t="s">
        <v>609</v>
      </c>
      <c r="D75" s="5" t="s">
        <v>181</v>
      </c>
      <c r="E75" s="7">
        <v>23.5</v>
      </c>
      <c r="F75" s="7"/>
      <c r="G75" s="7">
        <v>331540.86</v>
      </c>
      <c r="H75" s="7"/>
      <c r="I75" s="7"/>
      <c r="J75" s="7"/>
      <c r="K75" s="7">
        <v>77912</v>
      </c>
      <c r="L75" s="7"/>
      <c r="M75" s="7"/>
    </row>
    <row r="76" ht="18" customHeight="1" spans="1:13">
      <c r="A76" s="6" t="s">
        <v>181</v>
      </c>
      <c r="B76" s="6" t="s">
        <v>587</v>
      </c>
      <c r="C76" s="6" t="s">
        <v>610</v>
      </c>
      <c r="D76" s="5" t="s">
        <v>181</v>
      </c>
      <c r="E76" s="7">
        <v>12</v>
      </c>
      <c r="F76" s="7"/>
      <c r="G76" s="7">
        <v>331540.86</v>
      </c>
      <c r="H76" s="7"/>
      <c r="I76" s="7"/>
      <c r="J76" s="7"/>
      <c r="K76" s="7">
        <v>39785</v>
      </c>
      <c r="L76" s="7"/>
      <c r="M76" s="7"/>
    </row>
    <row r="77" ht="18" customHeight="1" spans="1:13">
      <c r="A77" s="6" t="s">
        <v>181</v>
      </c>
      <c r="B77" s="6" t="s">
        <v>593</v>
      </c>
      <c r="C77" s="6" t="s">
        <v>611</v>
      </c>
      <c r="D77" s="5" t="s">
        <v>181</v>
      </c>
      <c r="E77" s="7">
        <v>35.76</v>
      </c>
      <c r="F77" s="7"/>
      <c r="G77" s="7">
        <v>315753.2</v>
      </c>
      <c r="H77" s="7"/>
      <c r="I77" s="7"/>
      <c r="J77" s="7"/>
      <c r="K77" s="7">
        <v>112913</v>
      </c>
      <c r="L77" s="7"/>
      <c r="M77" s="7"/>
    </row>
    <row r="78" ht="18" customHeight="1" spans="1:13">
      <c r="A78" s="6" t="s">
        <v>181</v>
      </c>
      <c r="B78" s="6" t="s">
        <v>612</v>
      </c>
      <c r="C78" s="6" t="s">
        <v>613</v>
      </c>
      <c r="D78" s="5" t="s">
        <v>181</v>
      </c>
      <c r="E78" s="7">
        <v>1.06</v>
      </c>
      <c r="F78" s="7"/>
      <c r="G78" s="7">
        <v>490524.11</v>
      </c>
      <c r="H78" s="7"/>
      <c r="I78" s="7"/>
      <c r="J78" s="7"/>
      <c r="K78" s="7">
        <v>5200</v>
      </c>
      <c r="L78" s="7"/>
      <c r="M78" s="7"/>
    </row>
    <row r="79" ht="18" customHeight="1" spans="1:13">
      <c r="A79" s="6" t="s">
        <v>181</v>
      </c>
      <c r="B79" s="6" t="s">
        <v>614</v>
      </c>
      <c r="C79" s="6" t="s">
        <v>615</v>
      </c>
      <c r="D79" s="5" t="s">
        <v>181</v>
      </c>
      <c r="E79" s="7">
        <v>5</v>
      </c>
      <c r="F79" s="7"/>
      <c r="G79" s="7">
        <v>805681.83</v>
      </c>
      <c r="H79" s="7"/>
      <c r="I79" s="7"/>
      <c r="J79" s="7"/>
      <c r="K79" s="7">
        <v>40284</v>
      </c>
      <c r="L79" s="7"/>
      <c r="M79" s="7"/>
    </row>
    <row r="80" ht="18" customHeight="1" spans="1:13">
      <c r="A80" s="6" t="s">
        <v>181</v>
      </c>
      <c r="B80" s="6" t="s">
        <v>616</v>
      </c>
      <c r="C80" s="6" t="s">
        <v>617</v>
      </c>
      <c r="D80" s="5" t="s">
        <v>181</v>
      </c>
      <c r="E80" s="7">
        <v>100</v>
      </c>
      <c r="F80" s="7"/>
      <c r="G80" s="7">
        <v>42558.51</v>
      </c>
      <c r="H80" s="7"/>
      <c r="I80" s="7"/>
      <c r="J80" s="7"/>
      <c r="K80" s="7">
        <v>42559</v>
      </c>
      <c r="L80" s="7"/>
      <c r="M80" s="7"/>
    </row>
    <row r="81" ht="18" customHeight="1" spans="1:13">
      <c r="A81" s="6" t="s">
        <v>181</v>
      </c>
      <c r="B81" s="6" t="s">
        <v>577</v>
      </c>
      <c r="C81" s="6" t="s">
        <v>618</v>
      </c>
      <c r="D81" s="5" t="s">
        <v>181</v>
      </c>
      <c r="E81" s="7">
        <v>100</v>
      </c>
      <c r="F81" s="7"/>
      <c r="G81" s="7">
        <v>33627.72</v>
      </c>
      <c r="H81" s="7"/>
      <c r="I81" s="7"/>
      <c r="J81" s="7"/>
      <c r="K81" s="7">
        <v>33628</v>
      </c>
      <c r="L81" s="7"/>
      <c r="M81" s="7"/>
    </row>
    <row r="82" ht="18" customHeight="1" spans="1:13">
      <c r="A82" s="6" t="s">
        <v>181</v>
      </c>
      <c r="B82" s="6" t="s">
        <v>593</v>
      </c>
      <c r="C82" s="6" t="s">
        <v>619</v>
      </c>
      <c r="D82" s="5" t="s">
        <v>181</v>
      </c>
      <c r="E82" s="7">
        <v>100</v>
      </c>
      <c r="F82" s="7"/>
      <c r="G82" s="7">
        <v>3985.06</v>
      </c>
      <c r="H82" s="7"/>
      <c r="I82" s="7"/>
      <c r="J82" s="7"/>
      <c r="K82" s="7">
        <v>3985</v>
      </c>
      <c r="L82" s="7"/>
      <c r="M82" s="7"/>
    </row>
    <row r="83" ht="18" customHeight="1" spans="1:13">
      <c r="A83" s="6" t="s">
        <v>181</v>
      </c>
      <c r="B83" s="6" t="s">
        <v>612</v>
      </c>
      <c r="C83" s="6" t="s">
        <v>620</v>
      </c>
      <c r="D83" s="5" t="s">
        <v>181</v>
      </c>
      <c r="E83" s="7">
        <v>100</v>
      </c>
      <c r="F83" s="7"/>
      <c r="G83" s="7">
        <v>4945.74</v>
      </c>
      <c r="H83" s="7"/>
      <c r="I83" s="7"/>
      <c r="J83" s="7"/>
      <c r="K83" s="7">
        <v>4946</v>
      </c>
      <c r="L83" s="7"/>
      <c r="M83" s="7"/>
    </row>
    <row r="84" ht="18" customHeight="1" spans="1:13">
      <c r="A84" s="6" t="s">
        <v>181</v>
      </c>
      <c r="B84" s="6" t="s">
        <v>627</v>
      </c>
      <c r="C84" s="6" t="s">
        <v>216</v>
      </c>
      <c r="D84" s="5" t="s">
        <v>181</v>
      </c>
      <c r="E84" s="7">
        <v>9</v>
      </c>
      <c r="F84" s="7"/>
      <c r="G84" s="7">
        <v>888524.43</v>
      </c>
      <c r="H84" s="7"/>
      <c r="I84" s="7"/>
      <c r="J84" s="7"/>
      <c r="K84" s="7">
        <v>79967</v>
      </c>
      <c r="L84" s="7"/>
      <c r="M84" s="7"/>
    </row>
    <row r="85" ht="18" customHeight="1" spans="1:13">
      <c r="A85" s="6" t="s">
        <v>181</v>
      </c>
      <c r="B85" s="6" t="s">
        <v>662</v>
      </c>
      <c r="C85" s="6" t="s">
        <v>640</v>
      </c>
      <c r="D85" s="5" t="s">
        <v>181</v>
      </c>
      <c r="E85" s="7">
        <v>100</v>
      </c>
      <c r="F85" s="7"/>
      <c r="G85" s="7">
        <v>968491.63</v>
      </c>
      <c r="H85" s="7"/>
      <c r="I85" s="7"/>
      <c r="J85" s="7"/>
      <c r="K85" s="7">
        <v>968492</v>
      </c>
      <c r="L85" s="7"/>
      <c r="M85" s="7"/>
    </row>
    <row r="86" ht="18" customHeight="1" spans="1:13">
      <c r="A86" s="6" t="s">
        <v>181</v>
      </c>
      <c r="B86" s="6" t="s">
        <v>631</v>
      </c>
      <c r="C86" s="6" t="s">
        <v>100</v>
      </c>
      <c r="D86" s="5" t="s">
        <v>181</v>
      </c>
      <c r="E86" s="7">
        <v>100</v>
      </c>
      <c r="F86" s="7"/>
      <c r="G86" s="7">
        <v>968491.63</v>
      </c>
      <c r="H86" s="7"/>
      <c r="I86" s="7"/>
      <c r="J86" s="7"/>
      <c r="K86" s="7">
        <v>968492</v>
      </c>
      <c r="L86" s="7"/>
      <c r="M86" s="7"/>
    </row>
    <row r="87" ht="18" customHeight="1" spans="1:13">
      <c r="A87" s="6" t="s">
        <v>181</v>
      </c>
      <c r="B87" s="6" t="s">
        <v>663</v>
      </c>
      <c r="C87" s="6" t="s">
        <v>173</v>
      </c>
      <c r="D87" s="5" t="s">
        <v>181</v>
      </c>
      <c r="E87" s="7">
        <v>100</v>
      </c>
      <c r="F87" s="7"/>
      <c r="G87" s="7">
        <v>968491.63</v>
      </c>
      <c r="H87" s="7"/>
      <c r="I87" s="7"/>
      <c r="J87" s="7"/>
      <c r="K87" s="7">
        <v>968492</v>
      </c>
      <c r="L87" s="7"/>
      <c r="M87" s="7"/>
    </row>
    <row r="88" ht="18" customHeight="1" spans="1:13">
      <c r="A88" s="6" t="s">
        <v>181</v>
      </c>
      <c r="B88" s="6" t="s">
        <v>181</v>
      </c>
      <c r="C88" s="6" t="s">
        <v>181</v>
      </c>
      <c r="D88" s="5" t="s">
        <v>181</v>
      </c>
      <c r="E88" s="7"/>
      <c r="F88" s="7"/>
      <c r="G88" s="7"/>
      <c r="H88" s="7"/>
      <c r="I88" s="7"/>
      <c r="J88" s="7"/>
      <c r="K88" s="7"/>
      <c r="L88" s="7"/>
      <c r="M88" s="7"/>
    </row>
    <row r="89" ht="18" customHeight="1" spans="1:13">
      <c r="A89" s="6" t="s">
        <v>679</v>
      </c>
      <c r="B89" s="6" t="s">
        <v>181</v>
      </c>
      <c r="C89" s="6" t="s">
        <v>680</v>
      </c>
      <c r="D89" s="5" t="s">
        <v>181</v>
      </c>
      <c r="E89" s="7"/>
      <c r="F89" s="7"/>
      <c r="G89" s="7"/>
      <c r="H89" s="7"/>
      <c r="I89" s="7"/>
      <c r="J89" s="7">
        <v>1646124</v>
      </c>
      <c r="K89" s="7">
        <v>5125448</v>
      </c>
      <c r="L89" s="7">
        <v>829479</v>
      </c>
      <c r="M89" s="7">
        <v>254708</v>
      </c>
    </row>
    <row r="90" ht="18" customHeight="1" spans="1:13">
      <c r="A90" s="6" t="s">
        <v>681</v>
      </c>
      <c r="B90" s="6" t="s">
        <v>181</v>
      </c>
      <c r="C90" s="6" t="s">
        <v>304</v>
      </c>
      <c r="D90" s="5" t="s">
        <v>181</v>
      </c>
      <c r="E90" s="7"/>
      <c r="F90" s="7"/>
      <c r="G90" s="7"/>
      <c r="H90" s="7"/>
      <c r="I90" s="7"/>
      <c r="J90" s="7">
        <v>463899</v>
      </c>
      <c r="K90" s="7">
        <v>1084529</v>
      </c>
      <c r="L90" s="7">
        <v>145302</v>
      </c>
      <c r="M90" s="7">
        <v>18265</v>
      </c>
    </row>
    <row r="91" ht="18" customHeight="1" spans="1:13">
      <c r="A91" s="6" t="s">
        <v>181</v>
      </c>
      <c r="B91" s="6" t="s">
        <v>181</v>
      </c>
      <c r="C91" s="6" t="s">
        <v>682</v>
      </c>
      <c r="D91" s="5" t="s">
        <v>181</v>
      </c>
      <c r="E91" s="7"/>
      <c r="F91" s="7"/>
      <c r="G91" s="7"/>
      <c r="H91" s="7"/>
      <c r="I91" s="7"/>
      <c r="J91" s="7"/>
      <c r="K91" s="7"/>
      <c r="L91" s="7"/>
      <c r="M91" s="7"/>
    </row>
    <row r="92" ht="18" customHeight="1" spans="1:13">
      <c r="A92" s="6" t="s">
        <v>181</v>
      </c>
      <c r="B92" s="6" t="s">
        <v>683</v>
      </c>
      <c r="C92" s="6" t="s">
        <v>684</v>
      </c>
      <c r="D92" s="5" t="s">
        <v>182</v>
      </c>
      <c r="E92" s="7">
        <v>27.174</v>
      </c>
      <c r="F92" s="7"/>
      <c r="G92" s="7">
        <v>531.26</v>
      </c>
      <c r="H92" s="7">
        <v>379.79</v>
      </c>
      <c r="I92" s="7">
        <v>142.64</v>
      </c>
      <c r="J92" s="7"/>
      <c r="K92" s="7">
        <v>14436</v>
      </c>
      <c r="L92" s="7">
        <v>10320</v>
      </c>
      <c r="M92" s="7">
        <v>3876</v>
      </c>
    </row>
    <row r="93" ht="18" customHeight="1" spans="1:13">
      <c r="A93" s="6" t="s">
        <v>181</v>
      </c>
      <c r="B93" s="6" t="s">
        <v>181</v>
      </c>
      <c r="C93" s="6" t="s">
        <v>685</v>
      </c>
      <c r="D93" s="5" t="s">
        <v>181</v>
      </c>
      <c r="E93" s="7"/>
      <c r="F93" s="7"/>
      <c r="G93" s="7"/>
      <c r="H93" s="7"/>
      <c r="I93" s="7"/>
      <c r="J93" s="7"/>
      <c r="K93" s="7"/>
      <c r="L93" s="7"/>
      <c r="M93" s="7"/>
    </row>
    <row r="94" ht="18" customHeight="1" spans="1:13">
      <c r="A94" s="6" t="s">
        <v>181</v>
      </c>
      <c r="B94" s="6" t="s">
        <v>686</v>
      </c>
      <c r="C94" s="6" t="s">
        <v>687</v>
      </c>
      <c r="D94" s="5" t="s">
        <v>200</v>
      </c>
      <c r="E94" s="7">
        <v>21.6</v>
      </c>
      <c r="F94" s="7"/>
      <c r="G94" s="7">
        <v>146.79</v>
      </c>
      <c r="H94" s="7">
        <v>123.49</v>
      </c>
      <c r="I94" s="7">
        <v>18.34</v>
      </c>
      <c r="J94" s="7"/>
      <c r="K94" s="7">
        <v>3171</v>
      </c>
      <c r="L94" s="7">
        <v>2667</v>
      </c>
      <c r="M94" s="7">
        <v>396</v>
      </c>
    </row>
    <row r="95" ht="18" customHeight="1" spans="1:13">
      <c r="A95" s="6" t="s">
        <v>181</v>
      </c>
      <c r="B95" s="6" t="s">
        <v>688</v>
      </c>
      <c r="C95" s="6" t="s">
        <v>689</v>
      </c>
      <c r="D95" s="5" t="s">
        <v>200</v>
      </c>
      <c r="E95" s="7">
        <v>123.58</v>
      </c>
      <c r="F95" s="7"/>
      <c r="G95" s="7">
        <v>132.85</v>
      </c>
      <c r="H95" s="7">
        <v>111.76</v>
      </c>
      <c r="I95" s="7">
        <v>16.61</v>
      </c>
      <c r="J95" s="7"/>
      <c r="K95" s="7">
        <v>16418</v>
      </c>
      <c r="L95" s="7">
        <v>13811</v>
      </c>
      <c r="M95" s="7">
        <v>2053</v>
      </c>
    </row>
    <row r="96" ht="44.1" customHeight="1" spans="1:13">
      <c r="A96" s="6" t="s">
        <v>181</v>
      </c>
      <c r="B96" s="6" t="s">
        <v>181</v>
      </c>
      <c r="C96" s="6" t="s">
        <v>690</v>
      </c>
      <c r="D96" s="5" t="s">
        <v>181</v>
      </c>
      <c r="E96" s="7"/>
      <c r="F96" s="7"/>
      <c r="G96" s="7"/>
      <c r="H96" s="7"/>
      <c r="I96" s="7"/>
      <c r="J96" s="7"/>
      <c r="K96" s="7"/>
      <c r="L96" s="7"/>
      <c r="M96" s="7"/>
    </row>
    <row r="97" ht="30.6" customHeight="1" spans="1:13">
      <c r="A97" s="6" t="s">
        <v>181</v>
      </c>
      <c r="B97" s="6" t="s">
        <v>691</v>
      </c>
      <c r="C97" s="6" t="s">
        <v>692</v>
      </c>
      <c r="D97" s="5" t="s">
        <v>200</v>
      </c>
      <c r="E97" s="7">
        <v>102</v>
      </c>
      <c r="F97" s="7"/>
      <c r="G97" s="7">
        <v>213.81</v>
      </c>
      <c r="H97" s="7">
        <v>148.19</v>
      </c>
      <c r="I97" s="7">
        <v>13.49</v>
      </c>
      <c r="J97" s="7"/>
      <c r="K97" s="7">
        <v>21809</v>
      </c>
      <c r="L97" s="7">
        <v>15115</v>
      </c>
      <c r="M97" s="7">
        <v>1376</v>
      </c>
    </row>
    <row r="98" ht="30.6" customHeight="1" spans="1:13">
      <c r="A98" s="6" t="s">
        <v>181</v>
      </c>
      <c r="B98" s="6" t="s">
        <v>693</v>
      </c>
      <c r="C98" s="6" t="s">
        <v>694</v>
      </c>
      <c r="D98" s="5" t="s">
        <v>200</v>
      </c>
      <c r="E98" s="7">
        <v>138.733</v>
      </c>
      <c r="F98" s="7"/>
      <c r="G98" s="7">
        <v>192.64</v>
      </c>
      <c r="H98" s="7">
        <v>132.62</v>
      </c>
      <c r="I98" s="7">
        <v>13.1</v>
      </c>
      <c r="J98" s="7"/>
      <c r="K98" s="7">
        <v>26726</v>
      </c>
      <c r="L98" s="7">
        <v>18399</v>
      </c>
      <c r="M98" s="7">
        <v>1817</v>
      </c>
    </row>
    <row r="99" ht="30.6" customHeight="1" spans="1:13">
      <c r="A99" s="6" t="s">
        <v>181</v>
      </c>
      <c r="B99" s="6" t="s">
        <v>695</v>
      </c>
      <c r="C99" s="6" t="s">
        <v>696</v>
      </c>
      <c r="D99" s="5" t="s">
        <v>200</v>
      </c>
      <c r="E99" s="7">
        <v>395.255</v>
      </c>
      <c r="F99" s="7"/>
      <c r="G99" s="7">
        <v>181.86</v>
      </c>
      <c r="H99" s="7">
        <v>128.8</v>
      </c>
      <c r="I99" s="7">
        <v>12.44</v>
      </c>
      <c r="J99" s="7"/>
      <c r="K99" s="7">
        <v>71881</v>
      </c>
      <c r="L99" s="7">
        <v>50909</v>
      </c>
      <c r="M99" s="7">
        <v>4917</v>
      </c>
    </row>
    <row r="100" ht="18" customHeight="1" spans="1:13">
      <c r="A100" s="6" t="s">
        <v>181</v>
      </c>
      <c r="B100" s="6" t="s">
        <v>697</v>
      </c>
      <c r="C100" s="6" t="s">
        <v>698</v>
      </c>
      <c r="D100" s="5" t="s">
        <v>200</v>
      </c>
      <c r="E100" s="7">
        <v>95.828</v>
      </c>
      <c r="F100" s="7"/>
      <c r="G100" s="7">
        <v>169.87</v>
      </c>
      <c r="H100" s="7">
        <v>118.91</v>
      </c>
      <c r="I100" s="7">
        <v>11.79</v>
      </c>
      <c r="J100" s="7"/>
      <c r="K100" s="7">
        <v>16278</v>
      </c>
      <c r="L100" s="7">
        <v>11395</v>
      </c>
      <c r="M100" s="7">
        <v>1130</v>
      </c>
    </row>
    <row r="101" ht="30.6" customHeight="1" spans="1:13">
      <c r="A101" s="6" t="s">
        <v>181</v>
      </c>
      <c r="B101" s="6" t="s">
        <v>699</v>
      </c>
      <c r="C101" s="6" t="s">
        <v>700</v>
      </c>
      <c r="D101" s="5" t="s">
        <v>200</v>
      </c>
      <c r="E101" s="7">
        <v>3.56</v>
      </c>
      <c r="F101" s="7"/>
      <c r="G101" s="7">
        <v>849.83</v>
      </c>
      <c r="H101" s="7">
        <v>712.27</v>
      </c>
      <c r="I101" s="7">
        <v>47.04</v>
      </c>
      <c r="J101" s="7"/>
      <c r="K101" s="7">
        <v>3025</v>
      </c>
      <c r="L101" s="7">
        <v>2536</v>
      </c>
      <c r="M101" s="7">
        <v>167</v>
      </c>
    </row>
    <row r="102" ht="18" customHeight="1" spans="1:13">
      <c r="A102" s="6" t="s">
        <v>181</v>
      </c>
      <c r="B102" s="6" t="s">
        <v>181</v>
      </c>
      <c r="C102" s="6" t="s">
        <v>701</v>
      </c>
      <c r="D102" s="5" t="s">
        <v>660</v>
      </c>
      <c r="E102" s="7">
        <v>16.1</v>
      </c>
      <c r="F102" s="7"/>
      <c r="G102" s="7">
        <v>140885.22</v>
      </c>
      <c r="H102" s="7">
        <v>125152.68</v>
      </c>
      <c r="I102" s="7">
        <v>15732.54</v>
      </c>
      <c r="J102" s="7"/>
      <c r="K102" s="7">
        <v>22683</v>
      </c>
      <c r="L102" s="7">
        <v>20150</v>
      </c>
      <c r="M102" s="7">
        <v>2533</v>
      </c>
    </row>
    <row r="103" ht="18" customHeight="1" spans="1:13">
      <c r="A103" s="6" t="s">
        <v>181</v>
      </c>
      <c r="B103" s="6" t="s">
        <v>181</v>
      </c>
      <c r="C103" s="6" t="s">
        <v>702</v>
      </c>
      <c r="D103" s="5" t="s">
        <v>181</v>
      </c>
      <c r="E103" s="7"/>
      <c r="F103" s="7"/>
      <c r="G103" s="7"/>
      <c r="H103" s="7"/>
      <c r="I103" s="7"/>
      <c r="J103" s="7">
        <v>22863</v>
      </c>
      <c r="K103" s="7"/>
      <c r="L103" s="7"/>
      <c r="M103" s="7"/>
    </row>
    <row r="104" ht="18" customHeight="1" spans="1:13">
      <c r="A104" s="6" t="s">
        <v>181</v>
      </c>
      <c r="B104" s="6" t="s">
        <v>181</v>
      </c>
      <c r="C104" s="6" t="s">
        <v>703</v>
      </c>
      <c r="D104" s="5" t="s">
        <v>181</v>
      </c>
      <c r="E104" s="7"/>
      <c r="F104" s="7"/>
      <c r="G104" s="7"/>
      <c r="H104" s="7"/>
      <c r="I104" s="7"/>
      <c r="J104" s="7">
        <v>463899</v>
      </c>
      <c r="K104" s="7"/>
      <c r="L104" s="7"/>
      <c r="M104" s="7"/>
    </row>
    <row r="105" ht="18" customHeight="1" spans="1:13">
      <c r="A105" s="6" t="s">
        <v>181</v>
      </c>
      <c r="B105" s="6" t="s">
        <v>181</v>
      </c>
      <c r="C105" s="6" t="s">
        <v>562</v>
      </c>
      <c r="D105" s="5" t="s">
        <v>181</v>
      </c>
      <c r="E105" s="7"/>
      <c r="F105" s="7"/>
      <c r="G105" s="7"/>
      <c r="H105" s="7"/>
      <c r="I105" s="7"/>
      <c r="J105" s="7">
        <v>463899</v>
      </c>
      <c r="K105" s="7">
        <v>196426</v>
      </c>
      <c r="L105" s="7">
        <v>145302</v>
      </c>
      <c r="M105" s="7">
        <v>18265</v>
      </c>
    </row>
    <row r="106" ht="18" customHeight="1" spans="1:13">
      <c r="A106" s="6" t="s">
        <v>181</v>
      </c>
      <c r="B106" s="6" t="s">
        <v>181</v>
      </c>
      <c r="C106" s="6" t="s">
        <v>181</v>
      </c>
      <c r="D106" s="5" t="s">
        <v>181</v>
      </c>
      <c r="E106" s="7"/>
      <c r="F106" s="7"/>
      <c r="G106" s="7"/>
      <c r="H106" s="7"/>
      <c r="I106" s="7"/>
      <c r="J106" s="7"/>
      <c r="K106" s="7"/>
      <c r="L106" s="7"/>
      <c r="M106" s="7"/>
    </row>
    <row r="107" ht="18" customHeight="1" spans="1:13">
      <c r="A107" s="6" t="s">
        <v>181</v>
      </c>
      <c r="B107" s="6" t="s">
        <v>354</v>
      </c>
      <c r="C107" s="6" t="s">
        <v>210</v>
      </c>
      <c r="D107" s="5" t="s">
        <v>181</v>
      </c>
      <c r="E107" s="7">
        <v>100</v>
      </c>
      <c r="F107" s="7"/>
      <c r="G107" s="7">
        <v>710406.97</v>
      </c>
      <c r="H107" s="7"/>
      <c r="I107" s="7"/>
      <c r="J107" s="7"/>
      <c r="K107" s="7">
        <v>710407</v>
      </c>
      <c r="L107" s="7"/>
      <c r="M107" s="7"/>
    </row>
    <row r="108" ht="18" customHeight="1" spans="1:13">
      <c r="A108" s="6" t="s">
        <v>181</v>
      </c>
      <c r="B108" s="6" t="s">
        <v>577</v>
      </c>
      <c r="C108" s="6" t="s">
        <v>578</v>
      </c>
      <c r="D108" s="5" t="s">
        <v>181</v>
      </c>
      <c r="E108" s="7">
        <v>100</v>
      </c>
      <c r="F108" s="7"/>
      <c r="G108" s="7">
        <v>660325.38</v>
      </c>
      <c r="H108" s="7"/>
      <c r="I108" s="7"/>
      <c r="J108" s="7"/>
      <c r="K108" s="7">
        <v>660325</v>
      </c>
      <c r="L108" s="7"/>
      <c r="M108" s="7"/>
    </row>
    <row r="109" ht="18" customHeight="1" spans="1:13">
      <c r="A109" s="6" t="s">
        <v>181</v>
      </c>
      <c r="B109" s="6" t="s">
        <v>579</v>
      </c>
      <c r="C109" s="6" t="s">
        <v>580</v>
      </c>
      <c r="D109" s="5" t="s">
        <v>181</v>
      </c>
      <c r="E109" s="7">
        <v>100</v>
      </c>
      <c r="F109" s="7"/>
      <c r="G109" s="7">
        <v>196426.16</v>
      </c>
      <c r="H109" s="7"/>
      <c r="I109" s="7"/>
      <c r="J109" s="7"/>
      <c r="K109" s="7">
        <v>196426</v>
      </c>
      <c r="L109" s="7"/>
      <c r="M109" s="7"/>
    </row>
    <row r="110" ht="18" customHeight="1" spans="1:13">
      <c r="A110" s="6" t="s">
        <v>181</v>
      </c>
      <c r="B110" s="6" t="s">
        <v>581</v>
      </c>
      <c r="C110" s="6" t="s">
        <v>582</v>
      </c>
      <c r="D110" s="5" t="s">
        <v>181</v>
      </c>
      <c r="E110" s="7">
        <v>100</v>
      </c>
      <c r="F110" s="7"/>
      <c r="G110" s="7">
        <v>145302.26</v>
      </c>
      <c r="H110" s="7"/>
      <c r="I110" s="7"/>
      <c r="J110" s="7"/>
      <c r="K110" s="7">
        <v>145302</v>
      </c>
      <c r="L110" s="7"/>
      <c r="M110" s="7"/>
    </row>
    <row r="111" ht="18" customHeight="1" spans="1:13">
      <c r="A111" s="6" t="s">
        <v>181</v>
      </c>
      <c r="B111" s="6" t="s">
        <v>583</v>
      </c>
      <c r="C111" s="6" t="s">
        <v>584</v>
      </c>
      <c r="D111" s="5" t="s">
        <v>181</v>
      </c>
      <c r="E111" s="7">
        <v>100</v>
      </c>
      <c r="F111" s="7"/>
      <c r="G111" s="7">
        <v>32858.43</v>
      </c>
      <c r="H111" s="7"/>
      <c r="I111" s="7"/>
      <c r="J111" s="7"/>
      <c r="K111" s="7">
        <v>32858</v>
      </c>
      <c r="L111" s="7"/>
      <c r="M111" s="7"/>
    </row>
    <row r="112" ht="18" customHeight="1" spans="1:13">
      <c r="A112" s="6" t="s">
        <v>181</v>
      </c>
      <c r="B112" s="6" t="s">
        <v>585</v>
      </c>
      <c r="C112" s="6" t="s">
        <v>586</v>
      </c>
      <c r="D112" s="5" t="s">
        <v>181</v>
      </c>
      <c r="E112" s="7">
        <v>100</v>
      </c>
      <c r="F112" s="7"/>
      <c r="G112" s="7">
        <v>18265.47</v>
      </c>
      <c r="H112" s="7"/>
      <c r="I112" s="7"/>
      <c r="J112" s="7"/>
      <c r="K112" s="7">
        <v>18265</v>
      </c>
      <c r="L112" s="7"/>
      <c r="M112" s="7"/>
    </row>
    <row r="113" ht="18" customHeight="1" spans="1:13">
      <c r="A113" s="6" t="s">
        <v>181</v>
      </c>
      <c r="B113" s="6" t="s">
        <v>587</v>
      </c>
      <c r="C113" s="6" t="s">
        <v>588</v>
      </c>
      <c r="D113" s="5" t="s">
        <v>181</v>
      </c>
      <c r="E113" s="7">
        <v>100</v>
      </c>
      <c r="F113" s="7"/>
      <c r="G113" s="7">
        <v>463899.22</v>
      </c>
      <c r="H113" s="7"/>
      <c r="I113" s="7"/>
      <c r="J113" s="7"/>
      <c r="K113" s="7">
        <v>463899</v>
      </c>
      <c r="L113" s="7"/>
      <c r="M113" s="7"/>
    </row>
    <row r="114" ht="18" customHeight="1" spans="1:13">
      <c r="A114" s="6" t="s">
        <v>181</v>
      </c>
      <c r="B114" s="6" t="s">
        <v>591</v>
      </c>
      <c r="C114" s="6" t="s">
        <v>592</v>
      </c>
      <c r="D114" s="5" t="s">
        <v>181</v>
      </c>
      <c r="E114" s="7">
        <v>100</v>
      </c>
      <c r="F114" s="7"/>
      <c r="G114" s="7">
        <v>463899.22</v>
      </c>
      <c r="H114" s="7"/>
      <c r="I114" s="7"/>
      <c r="J114" s="7"/>
      <c r="K114" s="7">
        <v>463899</v>
      </c>
      <c r="L114" s="7"/>
      <c r="M114" s="7"/>
    </row>
    <row r="115" ht="18" customHeight="1" spans="1:13">
      <c r="A115" s="6" t="s">
        <v>181</v>
      </c>
      <c r="B115" s="6" t="s">
        <v>593</v>
      </c>
      <c r="C115" s="6" t="s">
        <v>258</v>
      </c>
      <c r="D115" s="5" t="s">
        <v>181</v>
      </c>
      <c r="E115" s="7">
        <v>100</v>
      </c>
      <c r="F115" s="7"/>
      <c r="G115" s="7">
        <v>50081.58</v>
      </c>
      <c r="H115" s="7"/>
      <c r="I115" s="7"/>
      <c r="J115" s="7"/>
      <c r="K115" s="7">
        <v>50082</v>
      </c>
      <c r="L115" s="7"/>
      <c r="M115" s="7"/>
    </row>
    <row r="116" ht="18" customHeight="1" spans="1:13">
      <c r="A116" s="6" t="s">
        <v>181</v>
      </c>
      <c r="B116" s="6" t="s">
        <v>594</v>
      </c>
      <c r="C116" s="6" t="s">
        <v>595</v>
      </c>
      <c r="D116" s="5" t="s">
        <v>181</v>
      </c>
      <c r="E116" s="7">
        <v>3.57</v>
      </c>
      <c r="F116" s="7"/>
      <c r="G116" s="7">
        <v>145302.26</v>
      </c>
      <c r="H116" s="7"/>
      <c r="I116" s="7"/>
      <c r="J116" s="7"/>
      <c r="K116" s="7">
        <v>5187</v>
      </c>
      <c r="L116" s="7"/>
      <c r="M116" s="7"/>
    </row>
    <row r="117" ht="18" customHeight="1" spans="1:13">
      <c r="A117" s="6" t="s">
        <v>181</v>
      </c>
      <c r="B117" s="6" t="s">
        <v>598</v>
      </c>
      <c r="C117" s="6" t="s">
        <v>599</v>
      </c>
      <c r="D117" s="5" t="s">
        <v>181</v>
      </c>
      <c r="E117" s="7">
        <v>3.82</v>
      </c>
      <c r="F117" s="7"/>
      <c r="G117" s="7">
        <v>145302.26</v>
      </c>
      <c r="H117" s="7"/>
      <c r="I117" s="7"/>
      <c r="J117" s="7"/>
      <c r="K117" s="7">
        <v>5551</v>
      </c>
      <c r="L117" s="7"/>
      <c r="M117" s="7"/>
    </row>
    <row r="118" ht="18" customHeight="1" spans="1:13">
      <c r="A118" s="6" t="s">
        <v>181</v>
      </c>
      <c r="B118" s="6" t="s">
        <v>602</v>
      </c>
      <c r="C118" s="6" t="s">
        <v>76</v>
      </c>
      <c r="D118" s="5" t="s">
        <v>181</v>
      </c>
      <c r="E118" s="7">
        <v>6.35</v>
      </c>
      <c r="F118" s="7"/>
      <c r="G118" s="7">
        <v>196426.16</v>
      </c>
      <c r="H118" s="7"/>
      <c r="I118" s="7"/>
      <c r="J118" s="7"/>
      <c r="K118" s="7">
        <v>12473</v>
      </c>
      <c r="L118" s="7"/>
      <c r="M118" s="7"/>
    </row>
    <row r="119" ht="18" customHeight="1" spans="1:13">
      <c r="A119" s="6" t="s">
        <v>181</v>
      </c>
      <c r="B119" s="6" t="s">
        <v>603</v>
      </c>
      <c r="C119" s="6" t="s">
        <v>604</v>
      </c>
      <c r="D119" s="5" t="s">
        <v>181</v>
      </c>
      <c r="E119" s="7">
        <v>2.36</v>
      </c>
      <c r="F119" s="7"/>
      <c r="G119" s="7">
        <v>145302.26</v>
      </c>
      <c r="H119" s="7"/>
      <c r="I119" s="7"/>
      <c r="J119" s="7"/>
      <c r="K119" s="7">
        <v>3429</v>
      </c>
      <c r="L119" s="7"/>
      <c r="M119" s="7"/>
    </row>
    <row r="120" ht="18" customHeight="1" spans="1:13">
      <c r="A120" s="6" t="s">
        <v>181</v>
      </c>
      <c r="B120" s="6" t="s">
        <v>605</v>
      </c>
      <c r="C120" s="6" t="s">
        <v>213</v>
      </c>
      <c r="D120" s="5" t="s">
        <v>181</v>
      </c>
      <c r="E120" s="7">
        <v>3.55</v>
      </c>
      <c r="F120" s="7"/>
      <c r="G120" s="7">
        <v>660325.38</v>
      </c>
      <c r="H120" s="7"/>
      <c r="I120" s="7"/>
      <c r="J120" s="7"/>
      <c r="K120" s="7">
        <v>23442</v>
      </c>
      <c r="L120" s="7"/>
      <c r="M120" s="7"/>
    </row>
    <row r="121" ht="18" customHeight="1" spans="1:13">
      <c r="A121" s="6" t="s">
        <v>181</v>
      </c>
      <c r="B121" s="6" t="s">
        <v>606</v>
      </c>
      <c r="C121" s="6" t="s">
        <v>607</v>
      </c>
      <c r="D121" s="5" t="s">
        <v>181</v>
      </c>
      <c r="E121" s="7">
        <v>100</v>
      </c>
      <c r="F121" s="7"/>
      <c r="G121" s="7">
        <v>108203.63</v>
      </c>
      <c r="H121" s="7"/>
      <c r="I121" s="7"/>
      <c r="J121" s="7"/>
      <c r="K121" s="7">
        <v>108204</v>
      </c>
      <c r="L121" s="7"/>
      <c r="M121" s="7"/>
    </row>
    <row r="122" ht="18" customHeight="1" spans="1:13">
      <c r="A122" s="6" t="s">
        <v>181</v>
      </c>
      <c r="B122" s="6" t="s">
        <v>577</v>
      </c>
      <c r="C122" s="6" t="s">
        <v>608</v>
      </c>
      <c r="D122" s="5" t="s">
        <v>181</v>
      </c>
      <c r="E122" s="7">
        <v>100</v>
      </c>
      <c r="F122" s="7"/>
      <c r="G122" s="7">
        <v>54161.42</v>
      </c>
      <c r="H122" s="7"/>
      <c r="I122" s="7"/>
      <c r="J122" s="7"/>
      <c r="K122" s="7">
        <v>54161</v>
      </c>
      <c r="L122" s="7"/>
      <c r="M122" s="7"/>
    </row>
    <row r="123" ht="18" customHeight="1" spans="1:13">
      <c r="A123" s="6" t="s">
        <v>181</v>
      </c>
      <c r="B123" s="6" t="s">
        <v>579</v>
      </c>
      <c r="C123" s="6" t="s">
        <v>609</v>
      </c>
      <c r="D123" s="5" t="s">
        <v>181</v>
      </c>
      <c r="E123" s="7">
        <v>23.5</v>
      </c>
      <c r="F123" s="7"/>
      <c r="G123" s="7">
        <v>152567.38</v>
      </c>
      <c r="H123" s="7"/>
      <c r="I123" s="7"/>
      <c r="J123" s="7"/>
      <c r="K123" s="7">
        <v>35853</v>
      </c>
      <c r="L123" s="7"/>
      <c r="M123" s="7"/>
    </row>
    <row r="124" ht="18" customHeight="1" spans="1:13">
      <c r="A124" s="6" t="s">
        <v>181</v>
      </c>
      <c r="B124" s="6" t="s">
        <v>587</v>
      </c>
      <c r="C124" s="6" t="s">
        <v>610</v>
      </c>
      <c r="D124" s="5" t="s">
        <v>181</v>
      </c>
      <c r="E124" s="7">
        <v>12</v>
      </c>
      <c r="F124" s="7"/>
      <c r="G124" s="7">
        <v>152567.38</v>
      </c>
      <c r="H124" s="7"/>
      <c r="I124" s="7"/>
      <c r="J124" s="7"/>
      <c r="K124" s="7">
        <v>18308</v>
      </c>
      <c r="L124" s="7"/>
      <c r="M124" s="7"/>
    </row>
    <row r="125" ht="18" customHeight="1" spans="1:13">
      <c r="A125" s="6" t="s">
        <v>181</v>
      </c>
      <c r="B125" s="6" t="s">
        <v>593</v>
      </c>
      <c r="C125" s="6" t="s">
        <v>611</v>
      </c>
      <c r="D125" s="5" t="s">
        <v>181</v>
      </c>
      <c r="E125" s="7">
        <v>35.76</v>
      </c>
      <c r="F125" s="7"/>
      <c r="G125" s="7">
        <v>145302.26</v>
      </c>
      <c r="H125" s="7"/>
      <c r="I125" s="7"/>
      <c r="J125" s="7"/>
      <c r="K125" s="7">
        <v>51960</v>
      </c>
      <c r="L125" s="7"/>
      <c r="M125" s="7"/>
    </row>
    <row r="126" ht="18" customHeight="1" spans="1:13">
      <c r="A126" s="6" t="s">
        <v>181</v>
      </c>
      <c r="B126" s="6" t="s">
        <v>612</v>
      </c>
      <c r="C126" s="6" t="s">
        <v>613</v>
      </c>
      <c r="D126" s="5" t="s">
        <v>181</v>
      </c>
      <c r="E126" s="7">
        <v>1.06</v>
      </c>
      <c r="F126" s="7"/>
      <c r="G126" s="7">
        <v>196426.16</v>
      </c>
      <c r="H126" s="7"/>
      <c r="I126" s="7"/>
      <c r="J126" s="7"/>
      <c r="K126" s="7">
        <v>2082</v>
      </c>
      <c r="L126" s="7"/>
      <c r="M126" s="7"/>
    </row>
    <row r="127" ht="18" customHeight="1" spans="1:13">
      <c r="A127" s="6" t="s">
        <v>181</v>
      </c>
      <c r="B127" s="6" t="s">
        <v>614</v>
      </c>
      <c r="C127" s="6" t="s">
        <v>615</v>
      </c>
      <c r="D127" s="5" t="s">
        <v>181</v>
      </c>
      <c r="E127" s="7">
        <v>5</v>
      </c>
      <c r="F127" s="7"/>
      <c r="G127" s="7">
        <v>818610.59</v>
      </c>
      <c r="H127" s="7"/>
      <c r="I127" s="7"/>
      <c r="J127" s="7"/>
      <c r="K127" s="7">
        <v>40931</v>
      </c>
      <c r="L127" s="7"/>
      <c r="M127" s="7"/>
    </row>
    <row r="128" ht="18" customHeight="1" spans="1:13">
      <c r="A128" s="6" t="s">
        <v>181</v>
      </c>
      <c r="B128" s="6" t="s">
        <v>616</v>
      </c>
      <c r="C128" s="6" t="s">
        <v>617</v>
      </c>
      <c r="D128" s="5" t="s">
        <v>181</v>
      </c>
      <c r="E128" s="7">
        <v>100</v>
      </c>
      <c r="F128" s="7"/>
      <c r="G128" s="7">
        <v>135439.71</v>
      </c>
      <c r="H128" s="7"/>
      <c r="I128" s="7"/>
      <c r="J128" s="7"/>
      <c r="K128" s="7">
        <v>135440</v>
      </c>
      <c r="L128" s="7"/>
      <c r="M128" s="7"/>
    </row>
    <row r="129" ht="18" customHeight="1" spans="1:13">
      <c r="A129" s="6" t="s">
        <v>181</v>
      </c>
      <c r="B129" s="6" t="s">
        <v>577</v>
      </c>
      <c r="C129" s="6" t="s">
        <v>618</v>
      </c>
      <c r="D129" s="5" t="s">
        <v>181</v>
      </c>
      <c r="E129" s="7">
        <v>100</v>
      </c>
      <c r="F129" s="7"/>
      <c r="G129" s="7">
        <v>15474.69</v>
      </c>
      <c r="H129" s="7"/>
      <c r="I129" s="7"/>
      <c r="J129" s="7"/>
      <c r="K129" s="7">
        <v>15475</v>
      </c>
      <c r="L129" s="7"/>
      <c r="M129" s="7"/>
    </row>
    <row r="130" ht="18" customHeight="1" spans="1:13">
      <c r="A130" s="6" t="s">
        <v>181</v>
      </c>
      <c r="B130" s="6" t="s">
        <v>593</v>
      </c>
      <c r="C130" s="6" t="s">
        <v>619</v>
      </c>
      <c r="D130" s="5" t="s">
        <v>181</v>
      </c>
      <c r="E130" s="7">
        <v>100</v>
      </c>
      <c r="F130" s="7"/>
      <c r="G130" s="7">
        <v>1679.07</v>
      </c>
      <c r="H130" s="7"/>
      <c r="I130" s="7"/>
      <c r="J130" s="7"/>
      <c r="K130" s="7">
        <v>1679</v>
      </c>
      <c r="L130" s="7"/>
      <c r="M130" s="7"/>
    </row>
    <row r="131" ht="18" customHeight="1" spans="1:13">
      <c r="A131" s="6" t="s">
        <v>181</v>
      </c>
      <c r="B131" s="6" t="s">
        <v>612</v>
      </c>
      <c r="C131" s="6" t="s">
        <v>620</v>
      </c>
      <c r="D131" s="5" t="s">
        <v>181</v>
      </c>
      <c r="E131" s="7">
        <v>100</v>
      </c>
      <c r="F131" s="7"/>
      <c r="G131" s="7">
        <v>933.37</v>
      </c>
      <c r="H131" s="7"/>
      <c r="I131" s="7"/>
      <c r="J131" s="7"/>
      <c r="K131" s="7">
        <v>933</v>
      </c>
      <c r="L131" s="7"/>
      <c r="M131" s="7"/>
    </row>
    <row r="132" ht="18" customHeight="1" spans="1:13">
      <c r="A132" s="6" t="s">
        <v>181</v>
      </c>
      <c r="B132" s="6" t="s">
        <v>621</v>
      </c>
      <c r="C132" s="6" t="s">
        <v>622</v>
      </c>
      <c r="D132" s="5" t="s">
        <v>181</v>
      </c>
      <c r="E132" s="7">
        <v>100</v>
      </c>
      <c r="F132" s="7"/>
      <c r="G132" s="7">
        <v>117352.59</v>
      </c>
      <c r="H132" s="7"/>
      <c r="I132" s="7"/>
      <c r="J132" s="7"/>
      <c r="K132" s="7">
        <v>117353</v>
      </c>
      <c r="L132" s="7"/>
      <c r="M132" s="7"/>
    </row>
    <row r="133" ht="18" customHeight="1" spans="1:13">
      <c r="A133" s="6" t="s">
        <v>181</v>
      </c>
      <c r="B133" s="6" t="s">
        <v>625</v>
      </c>
      <c r="C133" s="6" t="s">
        <v>626</v>
      </c>
      <c r="D133" s="5" t="s">
        <v>181</v>
      </c>
      <c r="E133" s="7">
        <v>100</v>
      </c>
      <c r="F133" s="7"/>
      <c r="G133" s="7">
        <v>117352.59</v>
      </c>
      <c r="H133" s="7"/>
      <c r="I133" s="7"/>
      <c r="J133" s="7"/>
      <c r="K133" s="7">
        <v>117353</v>
      </c>
      <c r="L133" s="7"/>
      <c r="M133" s="7"/>
    </row>
    <row r="134" ht="18" customHeight="1" spans="1:13">
      <c r="A134" s="6" t="s">
        <v>181</v>
      </c>
      <c r="B134" s="6" t="s">
        <v>627</v>
      </c>
      <c r="C134" s="6" t="s">
        <v>216</v>
      </c>
      <c r="D134" s="5" t="s">
        <v>181</v>
      </c>
      <c r="E134" s="7">
        <v>9</v>
      </c>
      <c r="F134" s="7"/>
      <c r="G134" s="7">
        <v>994980.84</v>
      </c>
      <c r="H134" s="7"/>
      <c r="I134" s="7"/>
      <c r="J134" s="7"/>
      <c r="K134" s="7">
        <v>89548</v>
      </c>
      <c r="L134" s="7"/>
      <c r="M134" s="7"/>
    </row>
    <row r="135" ht="18" customHeight="1" spans="1:13">
      <c r="A135" s="6" t="s">
        <v>181</v>
      </c>
      <c r="B135" s="6" t="s">
        <v>662</v>
      </c>
      <c r="C135" s="6" t="s">
        <v>640</v>
      </c>
      <c r="D135" s="5" t="s">
        <v>181</v>
      </c>
      <c r="E135" s="7">
        <v>100</v>
      </c>
      <c r="F135" s="7"/>
      <c r="G135" s="7">
        <v>503277.3</v>
      </c>
      <c r="H135" s="7"/>
      <c r="I135" s="7"/>
      <c r="J135" s="7"/>
      <c r="K135" s="7">
        <v>503277</v>
      </c>
      <c r="L135" s="7"/>
      <c r="M135" s="7"/>
    </row>
    <row r="136" ht="18" customHeight="1" spans="1:13">
      <c r="A136" s="6" t="s">
        <v>181</v>
      </c>
      <c r="B136" s="6" t="s">
        <v>704</v>
      </c>
      <c r="C136" s="6" t="s">
        <v>705</v>
      </c>
      <c r="D136" s="5" t="s">
        <v>181</v>
      </c>
      <c r="E136" s="7">
        <v>100</v>
      </c>
      <c r="F136" s="7"/>
      <c r="G136" s="7">
        <v>581251.81</v>
      </c>
      <c r="H136" s="7"/>
      <c r="I136" s="7"/>
      <c r="J136" s="7"/>
      <c r="K136" s="7">
        <v>581252</v>
      </c>
      <c r="L136" s="7"/>
      <c r="M136" s="7"/>
    </row>
    <row r="137" ht="18" customHeight="1" spans="1:13">
      <c r="A137" s="6" t="s">
        <v>181</v>
      </c>
      <c r="B137" s="6" t="s">
        <v>631</v>
      </c>
      <c r="C137" s="6" t="s">
        <v>100</v>
      </c>
      <c r="D137" s="5" t="s">
        <v>181</v>
      </c>
      <c r="E137" s="7">
        <v>100</v>
      </c>
      <c r="F137" s="7"/>
      <c r="G137" s="7">
        <v>1084529.11</v>
      </c>
      <c r="H137" s="7"/>
      <c r="I137" s="7"/>
      <c r="J137" s="7"/>
      <c r="K137" s="7">
        <v>1084529</v>
      </c>
      <c r="L137" s="7"/>
      <c r="M137" s="7"/>
    </row>
    <row r="138" ht="18" customHeight="1" spans="1:13">
      <c r="A138" s="6" t="s">
        <v>181</v>
      </c>
      <c r="B138" s="6" t="s">
        <v>663</v>
      </c>
      <c r="C138" s="6" t="s">
        <v>173</v>
      </c>
      <c r="D138" s="5" t="s">
        <v>181</v>
      </c>
      <c r="E138" s="7">
        <v>100</v>
      </c>
      <c r="F138" s="7"/>
      <c r="G138" s="7">
        <v>1084529.11</v>
      </c>
      <c r="H138" s="7"/>
      <c r="I138" s="7"/>
      <c r="J138" s="7"/>
      <c r="K138" s="7">
        <v>1084529</v>
      </c>
      <c r="L138" s="7"/>
      <c r="M138" s="7"/>
    </row>
    <row r="139" ht="18" customHeight="1" spans="1:13">
      <c r="A139" s="6" t="s">
        <v>181</v>
      </c>
      <c r="B139" s="6" t="s">
        <v>181</v>
      </c>
      <c r="C139" s="6" t="s">
        <v>181</v>
      </c>
      <c r="D139" s="5" t="s">
        <v>181</v>
      </c>
      <c r="E139" s="7"/>
      <c r="F139" s="7"/>
      <c r="G139" s="7"/>
      <c r="H139" s="7"/>
      <c r="I139" s="7"/>
      <c r="J139" s="7"/>
      <c r="K139" s="7"/>
      <c r="L139" s="7"/>
      <c r="M139" s="7"/>
    </row>
    <row r="140" ht="18" customHeight="1" spans="1:13">
      <c r="A140" s="6" t="s">
        <v>706</v>
      </c>
      <c r="B140" s="6" t="s">
        <v>181</v>
      </c>
      <c r="C140" s="6" t="s">
        <v>241</v>
      </c>
      <c r="D140" s="5" t="s">
        <v>181</v>
      </c>
      <c r="E140" s="7"/>
      <c r="F140" s="7"/>
      <c r="G140" s="7"/>
      <c r="H140" s="7"/>
      <c r="I140" s="7"/>
      <c r="J140" s="7">
        <v>1182225</v>
      </c>
      <c r="K140" s="7">
        <v>4040919</v>
      </c>
      <c r="L140" s="7">
        <v>684177</v>
      </c>
      <c r="M140" s="7">
        <v>236443</v>
      </c>
    </row>
    <row r="141" ht="18" customHeight="1" spans="1:13">
      <c r="A141" s="6" t="s">
        <v>181</v>
      </c>
      <c r="B141" s="6" t="s">
        <v>181</v>
      </c>
      <c r="C141" s="6" t="s">
        <v>682</v>
      </c>
      <c r="D141" s="5" t="s">
        <v>181</v>
      </c>
      <c r="E141" s="7"/>
      <c r="F141" s="7"/>
      <c r="G141" s="7"/>
      <c r="H141" s="7"/>
      <c r="I141" s="7"/>
      <c r="J141" s="7"/>
      <c r="K141" s="7"/>
      <c r="L141" s="7"/>
      <c r="M141" s="7"/>
    </row>
    <row r="142" ht="18" customHeight="1" spans="1:13">
      <c r="A142" s="6" t="s">
        <v>181</v>
      </c>
      <c r="B142" s="6" t="s">
        <v>707</v>
      </c>
      <c r="C142" s="6" t="s">
        <v>708</v>
      </c>
      <c r="D142" s="5" t="s">
        <v>182</v>
      </c>
      <c r="E142" s="7">
        <v>71.632</v>
      </c>
      <c r="F142" s="7"/>
      <c r="G142" s="7">
        <v>622.56</v>
      </c>
      <c r="H142" s="7">
        <v>455.88</v>
      </c>
      <c r="I142" s="7">
        <v>156.96</v>
      </c>
      <c r="J142" s="7"/>
      <c r="K142" s="7">
        <v>44595</v>
      </c>
      <c r="L142" s="7">
        <v>32656</v>
      </c>
      <c r="M142" s="7">
        <v>11243</v>
      </c>
    </row>
    <row r="143" ht="18" customHeight="1" spans="1:13">
      <c r="A143" s="6" t="s">
        <v>181</v>
      </c>
      <c r="B143" s="6" t="s">
        <v>181</v>
      </c>
      <c r="C143" s="6" t="s">
        <v>690</v>
      </c>
      <c r="D143" s="5" t="s">
        <v>181</v>
      </c>
      <c r="E143" s="7"/>
      <c r="F143" s="7"/>
      <c r="G143" s="7"/>
      <c r="H143" s="7"/>
      <c r="I143" s="7"/>
      <c r="J143" s="7"/>
      <c r="K143" s="7"/>
      <c r="L143" s="7"/>
      <c r="M143" s="7"/>
    </row>
    <row r="144" ht="18" customHeight="1" spans="1:13">
      <c r="A144" s="6" t="s">
        <v>181</v>
      </c>
      <c r="B144" s="6" t="s">
        <v>709</v>
      </c>
      <c r="C144" s="6" t="s">
        <v>694</v>
      </c>
      <c r="D144" s="5" t="s">
        <v>200</v>
      </c>
      <c r="E144" s="7">
        <v>261.137</v>
      </c>
      <c r="F144" s="7"/>
      <c r="G144" s="7">
        <v>211.9</v>
      </c>
      <c r="H144" s="7">
        <v>145.88</v>
      </c>
      <c r="I144" s="7">
        <v>14.41</v>
      </c>
      <c r="J144" s="7"/>
      <c r="K144" s="7">
        <v>55336</v>
      </c>
      <c r="L144" s="7">
        <v>38095</v>
      </c>
      <c r="M144" s="7">
        <v>3763</v>
      </c>
    </row>
    <row r="145" ht="18" customHeight="1" spans="1:13">
      <c r="A145" s="6" t="s">
        <v>181</v>
      </c>
      <c r="B145" s="6" t="s">
        <v>710</v>
      </c>
      <c r="C145" s="6" t="s">
        <v>694</v>
      </c>
      <c r="D145" s="5" t="s">
        <v>200</v>
      </c>
      <c r="E145" s="7">
        <v>2134.537</v>
      </c>
      <c r="F145" s="7"/>
      <c r="G145" s="7">
        <v>173.38</v>
      </c>
      <c r="H145" s="7">
        <v>119.36</v>
      </c>
      <c r="I145" s="7">
        <v>11.79</v>
      </c>
      <c r="J145" s="7"/>
      <c r="K145" s="7">
        <v>370077</v>
      </c>
      <c r="L145" s="7">
        <v>254774</v>
      </c>
      <c r="M145" s="7">
        <v>25166</v>
      </c>
    </row>
    <row r="146" ht="18" customHeight="1" spans="1:13">
      <c r="A146" s="6" t="s">
        <v>181</v>
      </c>
      <c r="B146" s="6" t="s">
        <v>711</v>
      </c>
      <c r="C146" s="6" t="s">
        <v>696</v>
      </c>
      <c r="D146" s="5" t="s">
        <v>200</v>
      </c>
      <c r="E146" s="7">
        <v>12.216</v>
      </c>
      <c r="F146" s="7"/>
      <c r="G146" s="7">
        <v>200.05</v>
      </c>
      <c r="H146" s="7">
        <v>141.68</v>
      </c>
      <c r="I146" s="7">
        <v>13.68</v>
      </c>
      <c r="J146" s="7"/>
      <c r="K146" s="7">
        <v>2444</v>
      </c>
      <c r="L146" s="7">
        <v>1731</v>
      </c>
      <c r="M146" s="7">
        <v>167</v>
      </c>
    </row>
    <row r="147" ht="18" customHeight="1" spans="1:13">
      <c r="A147" s="6" t="s">
        <v>181</v>
      </c>
      <c r="B147" s="6" t="s">
        <v>712</v>
      </c>
      <c r="C147" s="6" t="s">
        <v>696</v>
      </c>
      <c r="D147" s="5" t="s">
        <v>200</v>
      </c>
      <c r="E147" s="7">
        <v>52.94</v>
      </c>
      <c r="F147" s="7"/>
      <c r="G147" s="7">
        <v>163.67</v>
      </c>
      <c r="H147" s="7">
        <v>115.92</v>
      </c>
      <c r="I147" s="7">
        <v>11.2</v>
      </c>
      <c r="J147" s="7"/>
      <c r="K147" s="7">
        <v>8665</v>
      </c>
      <c r="L147" s="7">
        <v>6137</v>
      </c>
      <c r="M147" s="7">
        <v>593</v>
      </c>
    </row>
    <row r="148" ht="30.6" customHeight="1" spans="1:13">
      <c r="A148" s="6" t="s">
        <v>181</v>
      </c>
      <c r="B148" s="6" t="s">
        <v>699</v>
      </c>
      <c r="C148" s="6" t="s">
        <v>700</v>
      </c>
      <c r="D148" s="5" t="s">
        <v>200</v>
      </c>
      <c r="E148" s="7">
        <v>23.06</v>
      </c>
      <c r="F148" s="7"/>
      <c r="G148" s="7">
        <v>849.83</v>
      </c>
      <c r="H148" s="7">
        <v>712.27</v>
      </c>
      <c r="I148" s="7">
        <v>47.04</v>
      </c>
      <c r="J148" s="7"/>
      <c r="K148" s="7">
        <v>19597</v>
      </c>
      <c r="L148" s="7">
        <v>16425</v>
      </c>
      <c r="M148" s="7">
        <v>1085</v>
      </c>
    </row>
    <row r="149" ht="30.6" customHeight="1" spans="1:13">
      <c r="A149" s="6" t="s">
        <v>181</v>
      </c>
      <c r="B149" s="6" t="s">
        <v>713</v>
      </c>
      <c r="C149" s="6" t="s">
        <v>714</v>
      </c>
      <c r="D149" s="5" t="s">
        <v>200</v>
      </c>
      <c r="E149" s="7">
        <v>473.211</v>
      </c>
      <c r="F149" s="7"/>
      <c r="G149" s="7">
        <v>223.97</v>
      </c>
      <c r="H149" s="7">
        <v>163.91</v>
      </c>
      <c r="I149" s="7">
        <v>50.06</v>
      </c>
      <c r="J149" s="7"/>
      <c r="K149" s="7">
        <v>105985</v>
      </c>
      <c r="L149" s="7">
        <v>77564</v>
      </c>
      <c r="M149" s="7">
        <v>23689</v>
      </c>
    </row>
    <row r="150" ht="18" customHeight="1" spans="1:13">
      <c r="A150" s="6" t="s">
        <v>181</v>
      </c>
      <c r="B150" s="6" t="s">
        <v>181</v>
      </c>
      <c r="C150" s="6" t="s">
        <v>715</v>
      </c>
      <c r="D150" s="5" t="s">
        <v>181</v>
      </c>
      <c r="E150" s="7"/>
      <c r="F150" s="7"/>
      <c r="G150" s="7"/>
      <c r="H150" s="7"/>
      <c r="I150" s="7"/>
      <c r="J150" s="7"/>
      <c r="K150" s="7"/>
      <c r="L150" s="7"/>
      <c r="M150" s="7"/>
    </row>
    <row r="151" ht="18" customHeight="1" spans="1:13">
      <c r="A151" s="6" t="s">
        <v>181</v>
      </c>
      <c r="B151" s="6" t="s">
        <v>716</v>
      </c>
      <c r="C151" s="6" t="s">
        <v>717</v>
      </c>
      <c r="D151" s="5" t="s">
        <v>200</v>
      </c>
      <c r="E151" s="7">
        <v>38.208</v>
      </c>
      <c r="F151" s="7"/>
      <c r="G151" s="7">
        <v>392.61</v>
      </c>
      <c r="H151" s="7">
        <v>274.26</v>
      </c>
      <c r="I151" s="7">
        <v>9.22</v>
      </c>
      <c r="J151" s="7"/>
      <c r="K151" s="7">
        <v>15001</v>
      </c>
      <c r="L151" s="7">
        <v>10479</v>
      </c>
      <c r="M151" s="7">
        <v>352</v>
      </c>
    </row>
    <row r="152" ht="18" customHeight="1" spans="1:13">
      <c r="A152" s="6" t="s">
        <v>181</v>
      </c>
      <c r="B152" s="6" t="s">
        <v>181</v>
      </c>
      <c r="C152" s="6" t="s">
        <v>718</v>
      </c>
      <c r="D152" s="5" t="s">
        <v>181</v>
      </c>
      <c r="E152" s="7"/>
      <c r="F152" s="7"/>
      <c r="G152" s="7"/>
      <c r="H152" s="7"/>
      <c r="I152" s="7"/>
      <c r="J152" s="7"/>
      <c r="K152" s="7"/>
      <c r="L152" s="7"/>
      <c r="M152" s="7"/>
    </row>
    <row r="153" ht="18" customHeight="1" spans="1:13">
      <c r="A153" s="6" t="s">
        <v>181</v>
      </c>
      <c r="B153" s="6" t="s">
        <v>719</v>
      </c>
      <c r="C153" s="6" t="s">
        <v>720</v>
      </c>
      <c r="D153" s="5" t="s">
        <v>257</v>
      </c>
      <c r="E153" s="7">
        <v>48</v>
      </c>
      <c r="F153" s="7"/>
      <c r="G153" s="7">
        <v>1566.65</v>
      </c>
      <c r="H153" s="7">
        <v>690.27</v>
      </c>
      <c r="I153" s="7">
        <v>852.74</v>
      </c>
      <c r="J153" s="7"/>
      <c r="K153" s="7">
        <v>75199</v>
      </c>
      <c r="L153" s="7">
        <v>33133</v>
      </c>
      <c r="M153" s="7">
        <v>40932</v>
      </c>
    </row>
    <row r="154" ht="18" customHeight="1" spans="1:13">
      <c r="A154" s="6" t="s">
        <v>181</v>
      </c>
      <c r="B154" s="6" t="s">
        <v>721</v>
      </c>
      <c r="C154" s="6" t="s">
        <v>722</v>
      </c>
      <c r="D154" s="5" t="s">
        <v>257</v>
      </c>
      <c r="E154" s="7">
        <v>37</v>
      </c>
      <c r="F154" s="7"/>
      <c r="G154" s="7">
        <v>1722.17</v>
      </c>
      <c r="H154" s="7">
        <v>760.56</v>
      </c>
      <c r="I154" s="7">
        <v>935.6</v>
      </c>
      <c r="J154" s="7"/>
      <c r="K154" s="7">
        <v>63720</v>
      </c>
      <c r="L154" s="7">
        <v>28141</v>
      </c>
      <c r="M154" s="7">
        <v>34617</v>
      </c>
    </row>
    <row r="155" ht="18" customHeight="1" spans="1:13">
      <c r="A155" s="6" t="s">
        <v>181</v>
      </c>
      <c r="B155" s="6" t="s">
        <v>723</v>
      </c>
      <c r="C155" s="6" t="s">
        <v>724</v>
      </c>
      <c r="D155" s="5" t="s">
        <v>257</v>
      </c>
      <c r="E155" s="7">
        <v>40</v>
      </c>
      <c r="F155" s="7"/>
      <c r="G155" s="7">
        <v>1872.67</v>
      </c>
      <c r="H155" s="7">
        <v>830.83</v>
      </c>
      <c r="I155" s="7">
        <v>1013.46</v>
      </c>
      <c r="J155" s="7"/>
      <c r="K155" s="7">
        <v>74907</v>
      </c>
      <c r="L155" s="7">
        <v>33233</v>
      </c>
      <c r="M155" s="7">
        <v>40538</v>
      </c>
    </row>
    <row r="156" ht="18" customHeight="1" spans="1:13">
      <c r="A156" s="6" t="s">
        <v>181</v>
      </c>
      <c r="B156" s="6" t="s">
        <v>181</v>
      </c>
      <c r="C156" s="6" t="s">
        <v>725</v>
      </c>
      <c r="D156" s="5" t="s">
        <v>181</v>
      </c>
      <c r="E156" s="7"/>
      <c r="F156" s="7"/>
      <c r="G156" s="7"/>
      <c r="H156" s="7"/>
      <c r="I156" s="7"/>
      <c r="J156" s="7"/>
      <c r="K156" s="7"/>
      <c r="L156" s="7"/>
      <c r="M156" s="7"/>
    </row>
    <row r="157" ht="18" customHeight="1" spans="1:13">
      <c r="A157" s="6" t="s">
        <v>181</v>
      </c>
      <c r="B157" s="6" t="s">
        <v>726</v>
      </c>
      <c r="C157" s="6" t="s">
        <v>727</v>
      </c>
      <c r="D157" s="5" t="s">
        <v>200</v>
      </c>
      <c r="E157" s="7">
        <v>534.268</v>
      </c>
      <c r="F157" s="7"/>
      <c r="G157" s="7">
        <v>151.92</v>
      </c>
      <c r="H157" s="7">
        <v>105.35</v>
      </c>
      <c r="I157" s="7">
        <v>40.16</v>
      </c>
      <c r="J157" s="7"/>
      <c r="K157" s="7">
        <v>81166</v>
      </c>
      <c r="L157" s="7">
        <v>56285</v>
      </c>
      <c r="M157" s="7">
        <v>21456</v>
      </c>
    </row>
    <row r="158" ht="18" customHeight="1" spans="1:13">
      <c r="A158" s="6" t="s">
        <v>181</v>
      </c>
      <c r="B158" s="6" t="s">
        <v>181</v>
      </c>
      <c r="C158" s="6" t="s">
        <v>728</v>
      </c>
      <c r="D158" s="5" t="s">
        <v>181</v>
      </c>
      <c r="E158" s="7"/>
      <c r="F158" s="7"/>
      <c r="G158" s="7"/>
      <c r="H158" s="7"/>
      <c r="I158" s="7"/>
      <c r="J158" s="7"/>
      <c r="K158" s="7"/>
      <c r="L158" s="7"/>
      <c r="M158" s="7"/>
    </row>
    <row r="159" ht="18" customHeight="1" spans="1:13">
      <c r="A159" s="6" t="s">
        <v>181</v>
      </c>
      <c r="B159" s="6" t="s">
        <v>729</v>
      </c>
      <c r="C159" s="6" t="s">
        <v>730</v>
      </c>
      <c r="D159" s="5" t="s">
        <v>731</v>
      </c>
      <c r="E159" s="7">
        <v>7</v>
      </c>
      <c r="F159" s="7"/>
      <c r="G159" s="7">
        <v>100</v>
      </c>
      <c r="H159" s="7">
        <v>92.45</v>
      </c>
      <c r="I159" s="7">
        <v>7.55</v>
      </c>
      <c r="J159" s="7"/>
      <c r="K159" s="7">
        <v>700</v>
      </c>
      <c r="L159" s="7">
        <v>647</v>
      </c>
      <c r="M159" s="7">
        <v>53</v>
      </c>
    </row>
    <row r="160" ht="18" customHeight="1" spans="1:13">
      <c r="A160" s="6" t="s">
        <v>181</v>
      </c>
      <c r="B160" s="6" t="s">
        <v>181</v>
      </c>
      <c r="C160" s="6" t="s">
        <v>701</v>
      </c>
      <c r="D160" s="5" t="s">
        <v>660</v>
      </c>
      <c r="E160" s="7">
        <v>16.1</v>
      </c>
      <c r="F160" s="7"/>
      <c r="G160" s="7">
        <v>792954.02</v>
      </c>
      <c r="H160" s="7">
        <v>589299.47</v>
      </c>
      <c r="I160" s="7">
        <v>203654.55</v>
      </c>
      <c r="J160" s="7"/>
      <c r="K160" s="7">
        <v>127666</v>
      </c>
      <c r="L160" s="7">
        <v>94877</v>
      </c>
      <c r="M160" s="7">
        <v>32788</v>
      </c>
    </row>
    <row r="161" ht="18" customHeight="1" spans="1:13">
      <c r="A161" s="6" t="s">
        <v>181</v>
      </c>
      <c r="B161" s="6" t="s">
        <v>181</v>
      </c>
      <c r="C161" s="6" t="s">
        <v>702</v>
      </c>
      <c r="D161" s="5" t="s">
        <v>181</v>
      </c>
      <c r="E161" s="7"/>
      <c r="F161" s="7"/>
      <c r="G161" s="7"/>
      <c r="H161" s="7"/>
      <c r="I161" s="7"/>
      <c r="J161" s="7">
        <v>73604</v>
      </c>
      <c r="K161" s="7"/>
      <c r="L161" s="7"/>
      <c r="M161" s="7"/>
    </row>
    <row r="162" ht="18" customHeight="1" spans="1:13">
      <c r="A162" s="6" t="s">
        <v>181</v>
      </c>
      <c r="B162" s="6" t="s">
        <v>181</v>
      </c>
      <c r="C162" s="6" t="s">
        <v>703</v>
      </c>
      <c r="D162" s="5" t="s">
        <v>181</v>
      </c>
      <c r="E162" s="7"/>
      <c r="F162" s="7"/>
      <c r="G162" s="7"/>
      <c r="H162" s="7"/>
      <c r="I162" s="7"/>
      <c r="J162" s="7">
        <v>1182225</v>
      </c>
      <c r="K162" s="7"/>
      <c r="L162" s="7"/>
      <c r="M162" s="7"/>
    </row>
    <row r="163" ht="18" customHeight="1" spans="1:13">
      <c r="A163" s="6" t="s">
        <v>181</v>
      </c>
      <c r="B163" s="6" t="s">
        <v>181</v>
      </c>
      <c r="C163" s="6" t="s">
        <v>562</v>
      </c>
      <c r="D163" s="5" t="s">
        <v>181</v>
      </c>
      <c r="E163" s="7"/>
      <c r="F163" s="7"/>
      <c r="G163" s="7"/>
      <c r="H163" s="7"/>
      <c r="I163" s="7"/>
      <c r="J163" s="7">
        <v>1182225</v>
      </c>
      <c r="K163" s="7">
        <v>1045058</v>
      </c>
      <c r="L163" s="7">
        <v>684177</v>
      </c>
      <c r="M163" s="7">
        <v>236443</v>
      </c>
    </row>
    <row r="164" ht="18" customHeight="1" spans="1:13">
      <c r="A164" s="6" t="s">
        <v>181</v>
      </c>
      <c r="B164" s="6" t="s">
        <v>181</v>
      </c>
      <c r="C164" s="6" t="s">
        <v>181</v>
      </c>
      <c r="D164" s="5" t="s">
        <v>181</v>
      </c>
      <c r="E164" s="7"/>
      <c r="F164" s="7"/>
      <c r="G164" s="7"/>
      <c r="H164" s="7"/>
      <c r="I164" s="7"/>
      <c r="J164" s="7"/>
      <c r="K164" s="7"/>
      <c r="L164" s="7"/>
      <c r="M164" s="7"/>
    </row>
    <row r="165" ht="18" customHeight="1" spans="1:13">
      <c r="A165" s="6" t="s">
        <v>181</v>
      </c>
      <c r="B165" s="6" t="s">
        <v>354</v>
      </c>
      <c r="C165" s="6" t="s">
        <v>210</v>
      </c>
      <c r="D165" s="5" t="s">
        <v>181</v>
      </c>
      <c r="E165" s="7">
        <v>100</v>
      </c>
      <c r="F165" s="7"/>
      <c r="G165" s="7">
        <v>2439420.34</v>
      </c>
      <c r="H165" s="7"/>
      <c r="I165" s="7"/>
      <c r="J165" s="7"/>
      <c r="K165" s="7">
        <v>2439420</v>
      </c>
      <c r="L165" s="7"/>
      <c r="M165" s="7"/>
    </row>
    <row r="166" ht="18" customHeight="1" spans="1:13">
      <c r="A166" s="6" t="s">
        <v>181</v>
      </c>
      <c r="B166" s="6" t="s">
        <v>577</v>
      </c>
      <c r="C166" s="6" t="s">
        <v>578</v>
      </c>
      <c r="D166" s="5" t="s">
        <v>181</v>
      </c>
      <c r="E166" s="7">
        <v>100</v>
      </c>
      <c r="F166" s="7"/>
      <c r="G166" s="7">
        <v>2227283.36</v>
      </c>
      <c r="H166" s="7"/>
      <c r="I166" s="7"/>
      <c r="J166" s="7"/>
      <c r="K166" s="7">
        <v>2227283</v>
      </c>
      <c r="L166" s="7"/>
      <c r="M166" s="7"/>
    </row>
    <row r="167" ht="18" customHeight="1" spans="1:13">
      <c r="A167" s="6" t="s">
        <v>181</v>
      </c>
      <c r="B167" s="6" t="s">
        <v>579</v>
      </c>
      <c r="C167" s="6" t="s">
        <v>580</v>
      </c>
      <c r="D167" s="5" t="s">
        <v>181</v>
      </c>
      <c r="E167" s="7">
        <v>100</v>
      </c>
      <c r="F167" s="7"/>
      <c r="G167" s="7">
        <v>1045058.22</v>
      </c>
      <c r="H167" s="7"/>
      <c r="I167" s="7"/>
      <c r="J167" s="7"/>
      <c r="K167" s="7">
        <v>1045058</v>
      </c>
      <c r="L167" s="7"/>
      <c r="M167" s="7"/>
    </row>
    <row r="168" ht="18" customHeight="1" spans="1:13">
      <c r="A168" s="6" t="s">
        <v>181</v>
      </c>
      <c r="B168" s="6" t="s">
        <v>581</v>
      </c>
      <c r="C168" s="6" t="s">
        <v>582</v>
      </c>
      <c r="D168" s="5" t="s">
        <v>181</v>
      </c>
      <c r="E168" s="7">
        <v>100</v>
      </c>
      <c r="F168" s="7"/>
      <c r="G168" s="7">
        <v>684176.68</v>
      </c>
      <c r="H168" s="7"/>
      <c r="I168" s="7"/>
      <c r="J168" s="7"/>
      <c r="K168" s="7">
        <v>684177</v>
      </c>
      <c r="L168" s="7"/>
      <c r="M168" s="7"/>
    </row>
    <row r="169" ht="18" customHeight="1" spans="1:13">
      <c r="A169" s="6" t="s">
        <v>181</v>
      </c>
      <c r="B169" s="6" t="s">
        <v>583</v>
      </c>
      <c r="C169" s="6" t="s">
        <v>584</v>
      </c>
      <c r="D169" s="5" t="s">
        <v>181</v>
      </c>
      <c r="E169" s="7">
        <v>100</v>
      </c>
      <c r="F169" s="7"/>
      <c r="G169" s="7">
        <v>124438.6</v>
      </c>
      <c r="H169" s="7"/>
      <c r="I169" s="7"/>
      <c r="J169" s="7"/>
      <c r="K169" s="7">
        <v>124439</v>
      </c>
      <c r="L169" s="7"/>
      <c r="M169" s="7"/>
    </row>
    <row r="170" ht="18" customHeight="1" spans="1:13">
      <c r="A170" s="6" t="s">
        <v>181</v>
      </c>
      <c r="B170" s="6" t="s">
        <v>585</v>
      </c>
      <c r="C170" s="6" t="s">
        <v>586</v>
      </c>
      <c r="D170" s="5" t="s">
        <v>181</v>
      </c>
      <c r="E170" s="7">
        <v>100</v>
      </c>
      <c r="F170" s="7"/>
      <c r="G170" s="7">
        <v>236442.93</v>
      </c>
      <c r="H170" s="7"/>
      <c r="I170" s="7"/>
      <c r="J170" s="7"/>
      <c r="K170" s="7">
        <v>236443</v>
      </c>
      <c r="L170" s="7"/>
      <c r="M170" s="7"/>
    </row>
    <row r="171" ht="18" customHeight="1" spans="1:13">
      <c r="A171" s="6" t="s">
        <v>181</v>
      </c>
      <c r="B171" s="6" t="s">
        <v>587</v>
      </c>
      <c r="C171" s="6" t="s">
        <v>588</v>
      </c>
      <c r="D171" s="5" t="s">
        <v>181</v>
      </c>
      <c r="E171" s="7">
        <v>100</v>
      </c>
      <c r="F171" s="7"/>
      <c r="G171" s="7">
        <v>1182225.14</v>
      </c>
      <c r="H171" s="7"/>
      <c r="I171" s="7"/>
      <c r="J171" s="7"/>
      <c r="K171" s="7">
        <v>1182225</v>
      </c>
      <c r="L171" s="7"/>
      <c r="M171" s="7"/>
    </row>
    <row r="172" ht="18" customHeight="1" spans="1:13">
      <c r="A172" s="6" t="s">
        <v>181</v>
      </c>
      <c r="B172" s="6" t="s">
        <v>591</v>
      </c>
      <c r="C172" s="6" t="s">
        <v>592</v>
      </c>
      <c r="D172" s="5" t="s">
        <v>181</v>
      </c>
      <c r="E172" s="7">
        <v>100</v>
      </c>
      <c r="F172" s="7"/>
      <c r="G172" s="7">
        <v>1182225.14</v>
      </c>
      <c r="H172" s="7"/>
      <c r="I172" s="7"/>
      <c r="J172" s="7"/>
      <c r="K172" s="7">
        <v>1182225</v>
      </c>
      <c r="L172" s="7"/>
      <c r="M172" s="7"/>
    </row>
    <row r="173" ht="18" customHeight="1" spans="1:13">
      <c r="A173" s="6" t="s">
        <v>181</v>
      </c>
      <c r="B173" s="6" t="s">
        <v>593</v>
      </c>
      <c r="C173" s="6" t="s">
        <v>258</v>
      </c>
      <c r="D173" s="5" t="s">
        <v>181</v>
      </c>
      <c r="E173" s="7">
        <v>100</v>
      </c>
      <c r="F173" s="7"/>
      <c r="G173" s="7">
        <v>212136.98</v>
      </c>
      <c r="H173" s="7"/>
      <c r="I173" s="7"/>
      <c r="J173" s="7"/>
      <c r="K173" s="7">
        <v>212137</v>
      </c>
      <c r="L173" s="7"/>
      <c r="M173" s="7"/>
    </row>
    <row r="174" ht="18" customHeight="1" spans="1:13">
      <c r="A174" s="6" t="s">
        <v>181</v>
      </c>
      <c r="B174" s="6" t="s">
        <v>594</v>
      </c>
      <c r="C174" s="6" t="s">
        <v>595</v>
      </c>
      <c r="D174" s="5" t="s">
        <v>181</v>
      </c>
      <c r="E174" s="7">
        <v>3.57</v>
      </c>
      <c r="F174" s="7"/>
      <c r="G174" s="7">
        <v>684176.68</v>
      </c>
      <c r="H174" s="7"/>
      <c r="I174" s="7"/>
      <c r="J174" s="7"/>
      <c r="K174" s="7">
        <v>24425</v>
      </c>
      <c r="L174" s="7"/>
      <c r="M174" s="7"/>
    </row>
    <row r="175" ht="18" customHeight="1" spans="1:13">
      <c r="A175" s="6" t="s">
        <v>181</v>
      </c>
      <c r="B175" s="6" t="s">
        <v>598</v>
      </c>
      <c r="C175" s="6" t="s">
        <v>599</v>
      </c>
      <c r="D175" s="5" t="s">
        <v>181</v>
      </c>
      <c r="E175" s="7">
        <v>3.82</v>
      </c>
      <c r="F175" s="7"/>
      <c r="G175" s="7">
        <v>684176.68</v>
      </c>
      <c r="H175" s="7"/>
      <c r="I175" s="7"/>
      <c r="J175" s="7"/>
      <c r="K175" s="7">
        <v>26136</v>
      </c>
      <c r="L175" s="7"/>
      <c r="M175" s="7"/>
    </row>
    <row r="176" ht="18" customHeight="1" spans="1:13">
      <c r="A176" s="6" t="s">
        <v>181</v>
      </c>
      <c r="B176" s="6" t="s">
        <v>602</v>
      </c>
      <c r="C176" s="6" t="s">
        <v>76</v>
      </c>
      <c r="D176" s="5" t="s">
        <v>181</v>
      </c>
      <c r="E176" s="7">
        <v>6.35</v>
      </c>
      <c r="F176" s="7"/>
      <c r="G176" s="7">
        <v>1045058.22</v>
      </c>
      <c r="H176" s="7"/>
      <c r="I176" s="7"/>
      <c r="J176" s="7"/>
      <c r="K176" s="7">
        <v>66361</v>
      </c>
      <c r="L176" s="7"/>
      <c r="M176" s="7"/>
    </row>
    <row r="177" ht="18" customHeight="1" spans="1:13">
      <c r="A177" s="6" t="s">
        <v>181</v>
      </c>
      <c r="B177" s="6" t="s">
        <v>603</v>
      </c>
      <c r="C177" s="6" t="s">
        <v>604</v>
      </c>
      <c r="D177" s="5" t="s">
        <v>181</v>
      </c>
      <c r="E177" s="7">
        <v>2.36</v>
      </c>
      <c r="F177" s="7"/>
      <c r="G177" s="7">
        <v>684176.68</v>
      </c>
      <c r="H177" s="7"/>
      <c r="I177" s="7"/>
      <c r="J177" s="7"/>
      <c r="K177" s="7">
        <v>16147</v>
      </c>
      <c r="L177" s="7"/>
      <c r="M177" s="7"/>
    </row>
    <row r="178" ht="18" customHeight="1" spans="1:13">
      <c r="A178" s="6" t="s">
        <v>181</v>
      </c>
      <c r="B178" s="6" t="s">
        <v>605</v>
      </c>
      <c r="C178" s="6" t="s">
        <v>213</v>
      </c>
      <c r="D178" s="5" t="s">
        <v>181</v>
      </c>
      <c r="E178" s="7">
        <v>3.55</v>
      </c>
      <c r="F178" s="7"/>
      <c r="G178" s="7">
        <v>2227283.36</v>
      </c>
      <c r="H178" s="7"/>
      <c r="I178" s="7"/>
      <c r="J178" s="7"/>
      <c r="K178" s="7">
        <v>79069</v>
      </c>
      <c r="L178" s="7"/>
      <c r="M178" s="7"/>
    </row>
    <row r="179" ht="18" customHeight="1" spans="1:13">
      <c r="A179" s="6" t="s">
        <v>181</v>
      </c>
      <c r="B179" s="6" t="s">
        <v>606</v>
      </c>
      <c r="C179" s="6" t="s">
        <v>607</v>
      </c>
      <c r="D179" s="5" t="s">
        <v>181</v>
      </c>
      <c r="E179" s="7">
        <v>100</v>
      </c>
      <c r="F179" s="7"/>
      <c r="G179" s="7">
        <v>510766.06</v>
      </c>
      <c r="H179" s="7"/>
      <c r="I179" s="7"/>
      <c r="J179" s="7"/>
      <c r="K179" s="7">
        <v>510766</v>
      </c>
      <c r="L179" s="7"/>
      <c r="M179" s="7"/>
    </row>
    <row r="180" ht="18" customHeight="1" spans="1:13">
      <c r="A180" s="6" t="s">
        <v>181</v>
      </c>
      <c r="B180" s="6" t="s">
        <v>577</v>
      </c>
      <c r="C180" s="6" t="s">
        <v>608</v>
      </c>
      <c r="D180" s="5" t="s">
        <v>181</v>
      </c>
      <c r="E180" s="7">
        <v>100</v>
      </c>
      <c r="F180" s="7"/>
      <c r="G180" s="7">
        <v>255026.86</v>
      </c>
      <c r="H180" s="7"/>
      <c r="I180" s="7"/>
      <c r="J180" s="7"/>
      <c r="K180" s="7">
        <v>255027</v>
      </c>
      <c r="L180" s="7"/>
      <c r="M180" s="7"/>
    </row>
    <row r="181" ht="18" customHeight="1" spans="1:13">
      <c r="A181" s="6" t="s">
        <v>181</v>
      </c>
      <c r="B181" s="6" t="s">
        <v>579</v>
      </c>
      <c r="C181" s="6" t="s">
        <v>609</v>
      </c>
      <c r="D181" s="5" t="s">
        <v>181</v>
      </c>
      <c r="E181" s="7">
        <v>23.5</v>
      </c>
      <c r="F181" s="7"/>
      <c r="G181" s="7">
        <v>718385.52</v>
      </c>
      <c r="H181" s="7"/>
      <c r="I181" s="7"/>
      <c r="J181" s="7"/>
      <c r="K181" s="7">
        <v>168821</v>
      </c>
      <c r="L181" s="7"/>
      <c r="M181" s="7"/>
    </row>
    <row r="182" ht="18" customHeight="1" spans="1:13">
      <c r="A182" s="6" t="s">
        <v>181</v>
      </c>
      <c r="B182" s="6" t="s">
        <v>587</v>
      </c>
      <c r="C182" s="6" t="s">
        <v>610</v>
      </c>
      <c r="D182" s="5" t="s">
        <v>181</v>
      </c>
      <c r="E182" s="7">
        <v>12</v>
      </c>
      <c r="F182" s="7"/>
      <c r="G182" s="7">
        <v>718385.52</v>
      </c>
      <c r="H182" s="7"/>
      <c r="I182" s="7"/>
      <c r="J182" s="7"/>
      <c r="K182" s="7">
        <v>86206</v>
      </c>
      <c r="L182" s="7"/>
      <c r="M182" s="7"/>
    </row>
    <row r="183" ht="30.6" customHeight="1" spans="1:13">
      <c r="A183" s="6" t="s">
        <v>181</v>
      </c>
      <c r="B183" s="6" t="s">
        <v>593</v>
      </c>
      <c r="C183" s="6" t="s">
        <v>611</v>
      </c>
      <c r="D183" s="5" t="s">
        <v>181</v>
      </c>
      <c r="E183" s="7">
        <v>35.76</v>
      </c>
      <c r="F183" s="7"/>
      <c r="G183" s="7">
        <v>684176.68</v>
      </c>
      <c r="H183" s="7"/>
      <c r="I183" s="7"/>
      <c r="J183" s="7"/>
      <c r="K183" s="7">
        <v>244662</v>
      </c>
      <c r="L183" s="7"/>
      <c r="M183" s="7"/>
    </row>
    <row r="184" ht="18" customHeight="1" spans="1:13">
      <c r="A184" s="6" t="s">
        <v>181</v>
      </c>
      <c r="B184" s="6" t="s">
        <v>612</v>
      </c>
      <c r="C184" s="6" t="s">
        <v>613</v>
      </c>
      <c r="D184" s="5" t="s">
        <v>181</v>
      </c>
      <c r="E184" s="7">
        <v>1.06</v>
      </c>
      <c r="F184" s="7"/>
      <c r="G184" s="7">
        <v>1045058.22</v>
      </c>
      <c r="H184" s="7"/>
      <c r="I184" s="7"/>
      <c r="J184" s="7"/>
      <c r="K184" s="7">
        <v>11078</v>
      </c>
      <c r="L184" s="7"/>
      <c r="M184" s="7"/>
    </row>
    <row r="185" ht="30.6" customHeight="1" spans="1:13">
      <c r="A185" s="6" t="s">
        <v>181</v>
      </c>
      <c r="B185" s="6" t="s">
        <v>614</v>
      </c>
      <c r="C185" s="6" t="s">
        <v>615</v>
      </c>
      <c r="D185" s="5" t="s">
        <v>181</v>
      </c>
      <c r="E185" s="7">
        <v>5</v>
      </c>
      <c r="F185" s="7"/>
      <c r="G185" s="7">
        <v>2950186.4</v>
      </c>
      <c r="H185" s="7"/>
      <c r="I185" s="7"/>
      <c r="J185" s="7"/>
      <c r="K185" s="7">
        <v>147509</v>
      </c>
      <c r="L185" s="7"/>
      <c r="M185" s="7"/>
    </row>
    <row r="186" ht="30.6" customHeight="1" spans="1:13">
      <c r="A186" s="6" t="s">
        <v>181</v>
      </c>
      <c r="B186" s="6" t="s">
        <v>616</v>
      </c>
      <c r="C186" s="6" t="s">
        <v>617</v>
      </c>
      <c r="D186" s="5" t="s">
        <v>181</v>
      </c>
      <c r="E186" s="7">
        <v>100</v>
      </c>
      <c r="F186" s="7"/>
      <c r="G186" s="7">
        <v>609569.6</v>
      </c>
      <c r="H186" s="7"/>
      <c r="I186" s="7"/>
      <c r="J186" s="7"/>
      <c r="K186" s="7">
        <v>609570</v>
      </c>
      <c r="L186" s="7"/>
      <c r="M186" s="7"/>
    </row>
    <row r="187" ht="30.6" customHeight="1" spans="1:13">
      <c r="A187" s="6" t="s">
        <v>181</v>
      </c>
      <c r="B187" s="6" t="s">
        <v>577</v>
      </c>
      <c r="C187" s="6" t="s">
        <v>618</v>
      </c>
      <c r="D187" s="5" t="s">
        <v>181</v>
      </c>
      <c r="E187" s="7">
        <v>100</v>
      </c>
      <c r="F187" s="7"/>
      <c r="G187" s="7">
        <v>72864.82</v>
      </c>
      <c r="H187" s="7"/>
      <c r="I187" s="7"/>
      <c r="J187" s="7"/>
      <c r="K187" s="7">
        <v>72865</v>
      </c>
      <c r="L187" s="7"/>
      <c r="M187" s="7"/>
    </row>
    <row r="188" ht="18" customHeight="1" spans="1:13">
      <c r="A188" s="6" t="s">
        <v>181</v>
      </c>
      <c r="B188" s="6" t="s">
        <v>593</v>
      </c>
      <c r="C188" s="6" t="s">
        <v>619</v>
      </c>
      <c r="D188" s="5" t="s">
        <v>181</v>
      </c>
      <c r="E188" s="7">
        <v>100</v>
      </c>
      <c r="F188" s="7"/>
      <c r="G188" s="7">
        <v>6358.81</v>
      </c>
      <c r="H188" s="7"/>
      <c r="I188" s="7"/>
      <c r="J188" s="7"/>
      <c r="K188" s="7">
        <v>6359</v>
      </c>
      <c r="L188" s="7"/>
      <c r="M188" s="7"/>
    </row>
    <row r="189" ht="18" customHeight="1" spans="1:13">
      <c r="A189" s="6" t="s">
        <v>181</v>
      </c>
      <c r="B189" s="6" t="s">
        <v>612</v>
      </c>
      <c r="C189" s="6" t="s">
        <v>620</v>
      </c>
      <c r="D189" s="5" t="s">
        <v>181</v>
      </c>
      <c r="E189" s="7">
        <v>100</v>
      </c>
      <c r="F189" s="7"/>
      <c r="G189" s="7">
        <v>12082.23</v>
      </c>
      <c r="H189" s="7"/>
      <c r="I189" s="7"/>
      <c r="J189" s="7"/>
      <c r="K189" s="7">
        <v>12082</v>
      </c>
      <c r="L189" s="7"/>
      <c r="M189" s="7"/>
    </row>
    <row r="190" ht="18" customHeight="1" spans="1:13">
      <c r="A190" s="6" t="s">
        <v>181</v>
      </c>
      <c r="B190" s="6" t="s">
        <v>621</v>
      </c>
      <c r="C190" s="6" t="s">
        <v>622</v>
      </c>
      <c r="D190" s="5" t="s">
        <v>181</v>
      </c>
      <c r="E190" s="7">
        <v>100</v>
      </c>
      <c r="F190" s="7"/>
      <c r="G190" s="7">
        <v>518263.73</v>
      </c>
      <c r="H190" s="7"/>
      <c r="I190" s="7"/>
      <c r="J190" s="7"/>
      <c r="K190" s="7">
        <v>518264</v>
      </c>
      <c r="L190" s="7"/>
      <c r="M190" s="7"/>
    </row>
    <row r="191" ht="18" customHeight="1" spans="1:13">
      <c r="A191" s="6" t="s">
        <v>181</v>
      </c>
      <c r="B191" s="6" t="s">
        <v>625</v>
      </c>
      <c r="C191" s="6" t="s">
        <v>626</v>
      </c>
      <c r="D191" s="5" t="s">
        <v>181</v>
      </c>
      <c r="E191" s="7">
        <v>100</v>
      </c>
      <c r="F191" s="7"/>
      <c r="G191" s="7">
        <v>518263.73</v>
      </c>
      <c r="H191" s="7"/>
      <c r="I191" s="7"/>
      <c r="J191" s="7"/>
      <c r="K191" s="7">
        <v>518264</v>
      </c>
      <c r="L191" s="7"/>
      <c r="M191" s="7"/>
    </row>
    <row r="192" ht="18" customHeight="1" spans="1:13">
      <c r="A192" s="6" t="s">
        <v>181</v>
      </c>
      <c r="B192" s="6" t="s">
        <v>627</v>
      </c>
      <c r="C192" s="6" t="s">
        <v>216</v>
      </c>
      <c r="D192" s="5" t="s">
        <v>181</v>
      </c>
      <c r="E192" s="7">
        <v>9</v>
      </c>
      <c r="F192" s="7"/>
      <c r="G192" s="7">
        <v>3707265.32</v>
      </c>
      <c r="H192" s="7"/>
      <c r="I192" s="7"/>
      <c r="J192" s="7"/>
      <c r="K192" s="7">
        <v>333654</v>
      </c>
      <c r="L192" s="7"/>
      <c r="M192" s="7"/>
    </row>
    <row r="193" ht="18" customHeight="1" spans="1:13">
      <c r="A193" s="6" t="s">
        <v>181</v>
      </c>
      <c r="B193" s="6" t="s">
        <v>662</v>
      </c>
      <c r="C193" s="6" t="s">
        <v>640</v>
      </c>
      <c r="D193" s="5" t="s">
        <v>181</v>
      </c>
      <c r="E193" s="7">
        <v>100</v>
      </c>
      <c r="F193" s="7"/>
      <c r="G193" s="7">
        <v>2340430.32</v>
      </c>
      <c r="H193" s="7"/>
      <c r="I193" s="7"/>
      <c r="J193" s="7"/>
      <c r="K193" s="7">
        <v>2340430</v>
      </c>
      <c r="L193" s="7"/>
      <c r="M193" s="7"/>
    </row>
    <row r="194" ht="18" customHeight="1" spans="1:13">
      <c r="A194" s="6" t="s">
        <v>181</v>
      </c>
      <c r="B194" s="6" t="s">
        <v>704</v>
      </c>
      <c r="C194" s="6" t="s">
        <v>705</v>
      </c>
      <c r="D194" s="5" t="s">
        <v>181</v>
      </c>
      <c r="E194" s="7">
        <v>100</v>
      </c>
      <c r="F194" s="7"/>
      <c r="G194" s="7">
        <v>1700488.88</v>
      </c>
      <c r="H194" s="7"/>
      <c r="I194" s="7"/>
      <c r="J194" s="7"/>
      <c r="K194" s="7">
        <v>1700489</v>
      </c>
      <c r="L194" s="7"/>
      <c r="M194" s="7"/>
    </row>
    <row r="195" ht="18" customHeight="1" spans="1:13">
      <c r="A195" s="6" t="s">
        <v>181</v>
      </c>
      <c r="B195" s="6" t="s">
        <v>631</v>
      </c>
      <c r="C195" s="6" t="s">
        <v>100</v>
      </c>
      <c r="D195" s="5" t="s">
        <v>181</v>
      </c>
      <c r="E195" s="7">
        <v>100</v>
      </c>
      <c r="F195" s="7"/>
      <c r="G195" s="7">
        <v>4040919.19</v>
      </c>
      <c r="H195" s="7"/>
      <c r="I195" s="7"/>
      <c r="J195" s="7"/>
      <c r="K195" s="7">
        <v>4040919</v>
      </c>
      <c r="L195" s="7"/>
      <c r="M195" s="7"/>
    </row>
    <row r="196" ht="18" customHeight="1" spans="1:13">
      <c r="A196" s="6" t="s">
        <v>181</v>
      </c>
      <c r="B196" s="6" t="s">
        <v>663</v>
      </c>
      <c r="C196" s="6" t="s">
        <v>173</v>
      </c>
      <c r="D196" s="5" t="s">
        <v>181</v>
      </c>
      <c r="E196" s="7">
        <v>100</v>
      </c>
      <c r="F196" s="7"/>
      <c r="G196" s="7">
        <v>4040919.19</v>
      </c>
      <c r="H196" s="7"/>
      <c r="I196" s="7"/>
      <c r="J196" s="7"/>
      <c r="K196" s="7">
        <v>4040919</v>
      </c>
      <c r="L196" s="7"/>
      <c r="M196" s="7"/>
    </row>
    <row r="197" ht="18" customHeight="1" spans="1:13">
      <c r="A197" s="6" t="s">
        <v>181</v>
      </c>
      <c r="B197" s="6" t="s">
        <v>181</v>
      </c>
      <c r="C197" s="6" t="s">
        <v>181</v>
      </c>
      <c r="D197" s="5" t="s">
        <v>181</v>
      </c>
      <c r="E197" s="7"/>
      <c r="F197" s="7"/>
      <c r="G197" s="7"/>
      <c r="H197" s="7"/>
      <c r="I197" s="7"/>
      <c r="J197" s="7"/>
      <c r="K197" s="7"/>
      <c r="L197" s="7"/>
      <c r="M197" s="7"/>
    </row>
    <row r="198" ht="18" customHeight="1" spans="1:13">
      <c r="A198" s="6" t="s">
        <v>593</v>
      </c>
      <c r="B198" s="6" t="s">
        <v>181</v>
      </c>
      <c r="C198" s="6" t="s">
        <v>568</v>
      </c>
      <c r="D198" s="5" t="s">
        <v>181</v>
      </c>
      <c r="E198" s="7"/>
      <c r="F198" s="7"/>
      <c r="G198" s="7"/>
      <c r="H198" s="7"/>
      <c r="I198" s="7"/>
      <c r="J198" s="7">
        <v>4699042</v>
      </c>
      <c r="K198" s="7">
        <v>7556275</v>
      </c>
      <c r="L198" s="7">
        <v>492787</v>
      </c>
      <c r="M198" s="7">
        <v>126134</v>
      </c>
    </row>
    <row r="199" ht="18" customHeight="1" spans="1:13">
      <c r="A199" s="6" t="s">
        <v>594</v>
      </c>
      <c r="B199" s="6" t="s">
        <v>181</v>
      </c>
      <c r="C199" s="6" t="s">
        <v>732</v>
      </c>
      <c r="D199" s="5" t="s">
        <v>181</v>
      </c>
      <c r="E199" s="7"/>
      <c r="F199" s="7"/>
      <c r="G199" s="7"/>
      <c r="H199" s="7"/>
      <c r="I199" s="7"/>
      <c r="J199" s="7"/>
      <c r="K199" s="7">
        <v>249955</v>
      </c>
      <c r="L199" s="7">
        <v>78356</v>
      </c>
      <c r="M199" s="7">
        <v>50095</v>
      </c>
    </row>
    <row r="200" ht="18" customHeight="1" spans="1:13">
      <c r="A200" s="6" t="s">
        <v>181</v>
      </c>
      <c r="B200" s="6" t="s">
        <v>181</v>
      </c>
      <c r="C200" s="6" t="s">
        <v>733</v>
      </c>
      <c r="D200" s="5" t="s">
        <v>181</v>
      </c>
      <c r="E200" s="7"/>
      <c r="F200" s="7"/>
      <c r="G200" s="7"/>
      <c r="H200" s="7"/>
      <c r="I200" s="7"/>
      <c r="J200" s="7"/>
      <c r="K200" s="7"/>
      <c r="L200" s="7"/>
      <c r="M200" s="7"/>
    </row>
    <row r="201" ht="18" customHeight="1" spans="1:13">
      <c r="A201" s="6" t="s">
        <v>181</v>
      </c>
      <c r="B201" s="6" t="s">
        <v>734</v>
      </c>
      <c r="C201" s="6" t="s">
        <v>735</v>
      </c>
      <c r="D201" s="5" t="s">
        <v>647</v>
      </c>
      <c r="E201" s="7">
        <v>349.11</v>
      </c>
      <c r="F201" s="7"/>
      <c r="G201" s="7">
        <v>157.47</v>
      </c>
      <c r="H201" s="7">
        <v>146.52</v>
      </c>
      <c r="I201" s="7">
        <v>10.95</v>
      </c>
      <c r="J201" s="7"/>
      <c r="K201" s="7">
        <v>54974</v>
      </c>
      <c r="L201" s="7">
        <v>51152</v>
      </c>
      <c r="M201" s="7">
        <v>3823</v>
      </c>
    </row>
    <row r="202" ht="18" customHeight="1" spans="1:13">
      <c r="A202" s="6" t="s">
        <v>181</v>
      </c>
      <c r="B202" s="6" t="s">
        <v>736</v>
      </c>
      <c r="C202" s="6" t="s">
        <v>737</v>
      </c>
      <c r="D202" s="5" t="s">
        <v>182</v>
      </c>
      <c r="E202" s="7">
        <v>698.22</v>
      </c>
      <c r="F202" s="7"/>
      <c r="G202" s="7">
        <v>49.91</v>
      </c>
      <c r="H202" s="7">
        <v>12.76</v>
      </c>
      <c r="I202" s="7">
        <v>36.56</v>
      </c>
      <c r="J202" s="7"/>
      <c r="K202" s="7">
        <v>34848</v>
      </c>
      <c r="L202" s="7">
        <v>8909</v>
      </c>
      <c r="M202" s="7">
        <v>25527</v>
      </c>
    </row>
    <row r="203" ht="18" customHeight="1" spans="1:13">
      <c r="A203" s="6" t="s">
        <v>181</v>
      </c>
      <c r="B203" s="6" t="s">
        <v>738</v>
      </c>
      <c r="C203" s="6" t="s">
        <v>739</v>
      </c>
      <c r="D203" s="5" t="s">
        <v>647</v>
      </c>
      <c r="E203" s="7">
        <v>8378.637</v>
      </c>
      <c r="F203" s="7"/>
      <c r="G203" s="7">
        <v>1.57</v>
      </c>
      <c r="H203" s="7">
        <v>0.55</v>
      </c>
      <c r="I203" s="7">
        <v>1.02</v>
      </c>
      <c r="J203" s="7"/>
      <c r="K203" s="7">
        <v>13154</v>
      </c>
      <c r="L203" s="7">
        <v>4608</v>
      </c>
      <c r="M203" s="7">
        <v>8546</v>
      </c>
    </row>
    <row r="204" ht="18" customHeight="1" spans="1:13">
      <c r="A204" s="6" t="s">
        <v>181</v>
      </c>
      <c r="B204" s="6" t="s">
        <v>181</v>
      </c>
      <c r="C204" s="6" t="s">
        <v>740</v>
      </c>
      <c r="D204" s="5" t="s">
        <v>181</v>
      </c>
      <c r="E204" s="7"/>
      <c r="F204" s="7"/>
      <c r="G204" s="7"/>
      <c r="H204" s="7"/>
      <c r="I204" s="7"/>
      <c r="J204" s="7"/>
      <c r="K204" s="7"/>
      <c r="L204" s="7"/>
      <c r="M204" s="7"/>
    </row>
    <row r="205" ht="18" customHeight="1" spans="1:13">
      <c r="A205" s="6" t="s">
        <v>181</v>
      </c>
      <c r="B205" s="6" t="s">
        <v>741</v>
      </c>
      <c r="C205" s="6" t="s">
        <v>742</v>
      </c>
      <c r="D205" s="5" t="s">
        <v>182</v>
      </c>
      <c r="E205" s="7">
        <v>78.243</v>
      </c>
      <c r="F205" s="7"/>
      <c r="G205" s="7">
        <v>125.33</v>
      </c>
      <c r="H205" s="7">
        <v>13.29</v>
      </c>
      <c r="I205" s="7">
        <v>110.53</v>
      </c>
      <c r="J205" s="7"/>
      <c r="K205" s="7">
        <v>9806</v>
      </c>
      <c r="L205" s="7">
        <v>1040</v>
      </c>
      <c r="M205" s="7">
        <v>8648</v>
      </c>
    </row>
    <row r="206" ht="18" customHeight="1" spans="1:13">
      <c r="A206" s="6" t="s">
        <v>181</v>
      </c>
      <c r="B206" s="6" t="s">
        <v>743</v>
      </c>
      <c r="C206" s="6" t="s">
        <v>744</v>
      </c>
      <c r="D206" s="5" t="s">
        <v>647</v>
      </c>
      <c r="E206" s="7">
        <v>938.916</v>
      </c>
      <c r="F206" s="7"/>
      <c r="G206" s="7">
        <v>2.76</v>
      </c>
      <c r="H206" s="7">
        <v>0.46</v>
      </c>
      <c r="I206" s="7">
        <v>2.3</v>
      </c>
      <c r="J206" s="7"/>
      <c r="K206" s="7">
        <v>2591</v>
      </c>
      <c r="L206" s="7">
        <v>432</v>
      </c>
      <c r="M206" s="7">
        <v>2160</v>
      </c>
    </row>
    <row r="207" ht="18" customHeight="1" spans="1:13">
      <c r="A207" s="6" t="s">
        <v>181</v>
      </c>
      <c r="B207" s="6" t="s">
        <v>181</v>
      </c>
      <c r="C207" s="6" t="s">
        <v>659</v>
      </c>
      <c r="D207" s="5" t="s">
        <v>660</v>
      </c>
      <c r="E207" s="7">
        <v>22.6</v>
      </c>
      <c r="F207" s="7"/>
      <c r="G207" s="7">
        <v>51151.6</v>
      </c>
      <c r="H207" s="7">
        <v>51151.6</v>
      </c>
      <c r="I207" s="7"/>
      <c r="J207" s="7"/>
      <c r="K207" s="7">
        <v>11560</v>
      </c>
      <c r="L207" s="7">
        <v>11560</v>
      </c>
      <c r="M207" s="7"/>
    </row>
    <row r="208" ht="18" customHeight="1" spans="1:13">
      <c r="A208" s="6" t="s">
        <v>181</v>
      </c>
      <c r="B208" s="6" t="s">
        <v>181</v>
      </c>
      <c r="C208" s="6" t="s">
        <v>661</v>
      </c>
      <c r="D208" s="5" t="s">
        <v>660</v>
      </c>
      <c r="E208" s="7">
        <v>13</v>
      </c>
      <c r="F208" s="7"/>
      <c r="G208" s="7">
        <v>15745.87</v>
      </c>
      <c r="H208" s="7">
        <v>5040.15</v>
      </c>
      <c r="I208" s="7">
        <v>10705.72</v>
      </c>
      <c r="J208" s="7"/>
      <c r="K208" s="7">
        <v>2047</v>
      </c>
      <c r="L208" s="7">
        <v>655</v>
      </c>
      <c r="M208" s="7">
        <v>1392</v>
      </c>
    </row>
    <row r="209" ht="18" customHeight="1" spans="1:13">
      <c r="A209" s="6" t="s">
        <v>181</v>
      </c>
      <c r="B209" s="6" t="s">
        <v>181</v>
      </c>
      <c r="C209" s="6" t="s">
        <v>562</v>
      </c>
      <c r="D209" s="5" t="s">
        <v>181</v>
      </c>
      <c r="E209" s="7"/>
      <c r="F209" s="7"/>
      <c r="G209" s="7"/>
      <c r="H209" s="7"/>
      <c r="I209" s="7"/>
      <c r="J209" s="7"/>
      <c r="K209" s="7">
        <v>128982</v>
      </c>
      <c r="L209" s="7">
        <v>78356</v>
      </c>
      <c r="M209" s="7">
        <v>50095</v>
      </c>
    </row>
    <row r="210" ht="18" customHeight="1" spans="1:13">
      <c r="A210" s="6" t="s">
        <v>181</v>
      </c>
      <c r="B210" s="6" t="s">
        <v>181</v>
      </c>
      <c r="C210" s="6" t="s">
        <v>181</v>
      </c>
      <c r="D210" s="5" t="s">
        <v>181</v>
      </c>
      <c r="E210" s="7"/>
      <c r="F210" s="7"/>
      <c r="G210" s="7"/>
      <c r="H210" s="7"/>
      <c r="I210" s="7"/>
      <c r="J210" s="7"/>
      <c r="K210" s="7"/>
      <c r="L210" s="7"/>
      <c r="M210" s="7"/>
    </row>
    <row r="211" ht="18" customHeight="1" spans="1:13">
      <c r="A211" s="6" t="s">
        <v>181</v>
      </c>
      <c r="B211" s="6" t="s">
        <v>354</v>
      </c>
      <c r="C211" s="6" t="s">
        <v>210</v>
      </c>
      <c r="D211" s="5" t="s">
        <v>181</v>
      </c>
      <c r="E211" s="7">
        <v>100</v>
      </c>
      <c r="F211" s="7"/>
      <c r="G211" s="7">
        <v>149390.74</v>
      </c>
      <c r="H211" s="7"/>
      <c r="I211" s="7"/>
      <c r="J211" s="7"/>
      <c r="K211" s="7">
        <v>149391</v>
      </c>
      <c r="L211" s="7"/>
      <c r="M211" s="7"/>
    </row>
    <row r="212" ht="18" customHeight="1" spans="1:13">
      <c r="A212" s="6" t="s">
        <v>181</v>
      </c>
      <c r="B212" s="6" t="s">
        <v>577</v>
      </c>
      <c r="C212" s="6" t="s">
        <v>578</v>
      </c>
      <c r="D212" s="5" t="s">
        <v>181</v>
      </c>
      <c r="E212" s="7">
        <v>100</v>
      </c>
      <c r="F212" s="7"/>
      <c r="G212" s="7">
        <v>128981.8</v>
      </c>
      <c r="H212" s="7"/>
      <c r="I212" s="7"/>
      <c r="J212" s="7"/>
      <c r="K212" s="7">
        <v>128982</v>
      </c>
      <c r="L212" s="7"/>
      <c r="M212" s="7"/>
    </row>
    <row r="213" ht="18" customHeight="1" spans="1:13">
      <c r="A213" s="6" t="s">
        <v>181</v>
      </c>
      <c r="B213" s="6" t="s">
        <v>579</v>
      </c>
      <c r="C213" s="6" t="s">
        <v>580</v>
      </c>
      <c r="D213" s="5" t="s">
        <v>181</v>
      </c>
      <c r="E213" s="7">
        <v>100</v>
      </c>
      <c r="F213" s="7"/>
      <c r="G213" s="7">
        <v>128981.8</v>
      </c>
      <c r="H213" s="7"/>
      <c r="I213" s="7"/>
      <c r="J213" s="7"/>
      <c r="K213" s="7">
        <v>128982</v>
      </c>
      <c r="L213" s="7"/>
      <c r="M213" s="7"/>
    </row>
    <row r="214" ht="18" customHeight="1" spans="1:13">
      <c r="A214" s="6" t="s">
        <v>181</v>
      </c>
      <c r="B214" s="6" t="s">
        <v>581</v>
      </c>
      <c r="C214" s="6" t="s">
        <v>582</v>
      </c>
      <c r="D214" s="5" t="s">
        <v>181</v>
      </c>
      <c r="E214" s="7">
        <v>100</v>
      </c>
      <c r="F214" s="7"/>
      <c r="G214" s="7">
        <v>78356.37</v>
      </c>
      <c r="H214" s="7"/>
      <c r="I214" s="7"/>
      <c r="J214" s="7"/>
      <c r="K214" s="7">
        <v>78356</v>
      </c>
      <c r="L214" s="7"/>
      <c r="M214" s="7"/>
    </row>
    <row r="215" ht="18" customHeight="1" spans="1:13">
      <c r="A215" s="6" t="s">
        <v>181</v>
      </c>
      <c r="B215" s="6" t="s">
        <v>583</v>
      </c>
      <c r="C215" s="6" t="s">
        <v>584</v>
      </c>
      <c r="D215" s="5" t="s">
        <v>181</v>
      </c>
      <c r="E215" s="7">
        <v>100</v>
      </c>
      <c r="F215" s="7"/>
      <c r="G215" s="7">
        <v>530.1</v>
      </c>
      <c r="H215" s="7"/>
      <c r="I215" s="7"/>
      <c r="J215" s="7"/>
      <c r="K215" s="7">
        <v>530</v>
      </c>
      <c r="L215" s="7"/>
      <c r="M215" s="7"/>
    </row>
    <row r="216" ht="18" customHeight="1" spans="1:13">
      <c r="A216" s="6" t="s">
        <v>181</v>
      </c>
      <c r="B216" s="6" t="s">
        <v>585</v>
      </c>
      <c r="C216" s="6" t="s">
        <v>586</v>
      </c>
      <c r="D216" s="5" t="s">
        <v>181</v>
      </c>
      <c r="E216" s="7">
        <v>100</v>
      </c>
      <c r="F216" s="7"/>
      <c r="G216" s="7">
        <v>50095.34</v>
      </c>
      <c r="H216" s="7"/>
      <c r="I216" s="7"/>
      <c r="J216" s="7"/>
      <c r="K216" s="7">
        <v>50095</v>
      </c>
      <c r="L216" s="7"/>
      <c r="M216" s="7"/>
    </row>
    <row r="217" ht="18" customHeight="1" spans="1:13">
      <c r="A217" s="6" t="s">
        <v>181</v>
      </c>
      <c r="B217" s="6" t="s">
        <v>593</v>
      </c>
      <c r="C217" s="6" t="s">
        <v>258</v>
      </c>
      <c r="D217" s="5" t="s">
        <v>181</v>
      </c>
      <c r="E217" s="7">
        <v>100</v>
      </c>
      <c r="F217" s="7"/>
      <c r="G217" s="7">
        <v>20408.94</v>
      </c>
      <c r="H217" s="7"/>
      <c r="I217" s="7"/>
      <c r="J217" s="7"/>
      <c r="K217" s="7">
        <v>20409</v>
      </c>
      <c r="L217" s="7"/>
      <c r="M217" s="7"/>
    </row>
    <row r="218" ht="18" customHeight="1" spans="1:13">
      <c r="A218" s="6" t="s">
        <v>181</v>
      </c>
      <c r="B218" s="6" t="s">
        <v>594</v>
      </c>
      <c r="C218" s="6" t="s">
        <v>595</v>
      </c>
      <c r="D218" s="5" t="s">
        <v>181</v>
      </c>
      <c r="E218" s="7">
        <v>3.57</v>
      </c>
      <c r="F218" s="7"/>
      <c r="G218" s="7">
        <v>78356.37</v>
      </c>
      <c r="H218" s="7"/>
      <c r="I218" s="7"/>
      <c r="J218" s="7"/>
      <c r="K218" s="7">
        <v>2797</v>
      </c>
      <c r="L218" s="7"/>
      <c r="M218" s="7"/>
    </row>
    <row r="219" ht="18" customHeight="1" spans="1:13">
      <c r="A219" s="6" t="s">
        <v>181</v>
      </c>
      <c r="B219" s="6" t="s">
        <v>598</v>
      </c>
      <c r="C219" s="6" t="s">
        <v>599</v>
      </c>
      <c r="D219" s="5" t="s">
        <v>181</v>
      </c>
      <c r="E219" s="7">
        <v>3.82</v>
      </c>
      <c r="F219" s="7"/>
      <c r="G219" s="7">
        <v>78356.37</v>
      </c>
      <c r="H219" s="7"/>
      <c r="I219" s="7"/>
      <c r="J219" s="7"/>
      <c r="K219" s="7">
        <v>2993</v>
      </c>
      <c r="L219" s="7"/>
      <c r="M219" s="7"/>
    </row>
    <row r="220" ht="18" customHeight="1" spans="1:13">
      <c r="A220" s="6" t="s">
        <v>181</v>
      </c>
      <c r="B220" s="6" t="s">
        <v>602</v>
      </c>
      <c r="C220" s="6" t="s">
        <v>76</v>
      </c>
      <c r="D220" s="5" t="s">
        <v>181</v>
      </c>
      <c r="E220" s="7">
        <v>6.35</v>
      </c>
      <c r="F220" s="7"/>
      <c r="G220" s="7">
        <v>128981.8</v>
      </c>
      <c r="H220" s="7"/>
      <c r="I220" s="7"/>
      <c r="J220" s="7"/>
      <c r="K220" s="7">
        <v>8190</v>
      </c>
      <c r="L220" s="7"/>
      <c r="M220" s="7"/>
    </row>
    <row r="221" ht="18" customHeight="1" spans="1:13">
      <c r="A221" s="6" t="s">
        <v>181</v>
      </c>
      <c r="B221" s="6" t="s">
        <v>603</v>
      </c>
      <c r="C221" s="6" t="s">
        <v>604</v>
      </c>
      <c r="D221" s="5" t="s">
        <v>181</v>
      </c>
      <c r="E221" s="7">
        <v>2.36</v>
      </c>
      <c r="F221" s="7"/>
      <c r="G221" s="7">
        <v>78356.37</v>
      </c>
      <c r="H221" s="7"/>
      <c r="I221" s="7"/>
      <c r="J221" s="7"/>
      <c r="K221" s="7">
        <v>1849</v>
      </c>
      <c r="L221" s="7"/>
      <c r="M221" s="7"/>
    </row>
    <row r="222" ht="18" customHeight="1" spans="1:13">
      <c r="A222" s="6" t="s">
        <v>181</v>
      </c>
      <c r="B222" s="6" t="s">
        <v>605</v>
      </c>
      <c r="C222" s="6" t="s">
        <v>213</v>
      </c>
      <c r="D222" s="5" t="s">
        <v>181</v>
      </c>
      <c r="E222" s="7">
        <v>3.55</v>
      </c>
      <c r="F222" s="7"/>
      <c r="G222" s="7">
        <v>128981.8</v>
      </c>
      <c r="H222" s="7"/>
      <c r="I222" s="7"/>
      <c r="J222" s="7"/>
      <c r="K222" s="7">
        <v>4579</v>
      </c>
      <c r="L222" s="7"/>
      <c r="M222" s="7"/>
    </row>
    <row r="223" ht="18" customHeight="1" spans="1:13">
      <c r="A223" s="6" t="s">
        <v>181</v>
      </c>
      <c r="B223" s="6" t="s">
        <v>606</v>
      </c>
      <c r="C223" s="6" t="s">
        <v>607</v>
      </c>
      <c r="D223" s="5" t="s">
        <v>181</v>
      </c>
      <c r="E223" s="7">
        <v>100</v>
      </c>
      <c r="F223" s="7"/>
      <c r="G223" s="7">
        <v>58594.78</v>
      </c>
      <c r="H223" s="7"/>
      <c r="I223" s="7"/>
      <c r="J223" s="7"/>
      <c r="K223" s="7">
        <v>58595</v>
      </c>
      <c r="L223" s="7"/>
      <c r="M223" s="7"/>
    </row>
    <row r="224" ht="18" customHeight="1" spans="1:13">
      <c r="A224" s="6" t="s">
        <v>181</v>
      </c>
      <c r="B224" s="6" t="s">
        <v>577</v>
      </c>
      <c r="C224" s="6" t="s">
        <v>608</v>
      </c>
      <c r="D224" s="5" t="s">
        <v>181</v>
      </c>
      <c r="E224" s="7">
        <v>100</v>
      </c>
      <c r="F224" s="7"/>
      <c r="G224" s="7">
        <v>29207.34</v>
      </c>
      <c r="H224" s="7"/>
      <c r="I224" s="7"/>
      <c r="J224" s="7"/>
      <c r="K224" s="7">
        <v>29207</v>
      </c>
      <c r="L224" s="7"/>
      <c r="M224" s="7"/>
    </row>
    <row r="225" ht="18" customHeight="1" spans="1:13">
      <c r="A225" s="6" t="s">
        <v>181</v>
      </c>
      <c r="B225" s="6" t="s">
        <v>579</v>
      </c>
      <c r="C225" s="6" t="s">
        <v>609</v>
      </c>
      <c r="D225" s="5" t="s">
        <v>181</v>
      </c>
      <c r="E225" s="7">
        <v>23.5</v>
      </c>
      <c r="F225" s="7"/>
      <c r="G225" s="7">
        <v>82274.18</v>
      </c>
      <c r="H225" s="7"/>
      <c r="I225" s="7"/>
      <c r="J225" s="7"/>
      <c r="K225" s="7">
        <v>19334</v>
      </c>
      <c r="L225" s="7"/>
      <c r="M225" s="7"/>
    </row>
    <row r="226" ht="18" customHeight="1" spans="1:13">
      <c r="A226" s="6" t="s">
        <v>181</v>
      </c>
      <c r="B226" s="6" t="s">
        <v>587</v>
      </c>
      <c r="C226" s="6" t="s">
        <v>610</v>
      </c>
      <c r="D226" s="5" t="s">
        <v>181</v>
      </c>
      <c r="E226" s="7">
        <v>12</v>
      </c>
      <c r="F226" s="7"/>
      <c r="G226" s="7">
        <v>82274.18</v>
      </c>
      <c r="H226" s="7"/>
      <c r="I226" s="7"/>
      <c r="J226" s="7"/>
      <c r="K226" s="7">
        <v>9873</v>
      </c>
      <c r="L226" s="7"/>
      <c r="M226" s="7"/>
    </row>
    <row r="227" ht="18" customHeight="1" spans="1:13">
      <c r="A227" s="6" t="s">
        <v>181</v>
      </c>
      <c r="B227" s="6" t="s">
        <v>593</v>
      </c>
      <c r="C227" s="6" t="s">
        <v>611</v>
      </c>
      <c r="D227" s="5" t="s">
        <v>181</v>
      </c>
      <c r="E227" s="7">
        <v>35.76</v>
      </c>
      <c r="F227" s="7"/>
      <c r="G227" s="7">
        <v>78356.37</v>
      </c>
      <c r="H227" s="7"/>
      <c r="I227" s="7"/>
      <c r="J227" s="7"/>
      <c r="K227" s="7">
        <v>28020</v>
      </c>
      <c r="L227" s="7"/>
      <c r="M227" s="7"/>
    </row>
    <row r="228" ht="18" customHeight="1" spans="1:13">
      <c r="A228" s="6" t="s">
        <v>181</v>
      </c>
      <c r="B228" s="6" t="s">
        <v>612</v>
      </c>
      <c r="C228" s="6" t="s">
        <v>613</v>
      </c>
      <c r="D228" s="5" t="s">
        <v>181</v>
      </c>
      <c r="E228" s="7">
        <v>1.06</v>
      </c>
      <c r="F228" s="7"/>
      <c r="G228" s="7">
        <v>128981.8</v>
      </c>
      <c r="H228" s="7"/>
      <c r="I228" s="7"/>
      <c r="J228" s="7"/>
      <c r="K228" s="7">
        <v>1367</v>
      </c>
      <c r="L228" s="7"/>
      <c r="M228" s="7"/>
    </row>
    <row r="229" ht="18" customHeight="1" spans="1:13">
      <c r="A229" s="6" t="s">
        <v>181</v>
      </c>
      <c r="B229" s="6" t="s">
        <v>614</v>
      </c>
      <c r="C229" s="6" t="s">
        <v>615</v>
      </c>
      <c r="D229" s="5" t="s">
        <v>181</v>
      </c>
      <c r="E229" s="7">
        <v>5</v>
      </c>
      <c r="F229" s="7"/>
      <c r="G229" s="7">
        <v>207985.52</v>
      </c>
      <c r="H229" s="7"/>
      <c r="I229" s="7"/>
      <c r="J229" s="7"/>
      <c r="K229" s="7">
        <v>10399</v>
      </c>
      <c r="L229" s="7"/>
      <c r="M229" s="7"/>
    </row>
    <row r="230" ht="18" customHeight="1" spans="1:13">
      <c r="A230" s="6" t="s">
        <v>181</v>
      </c>
      <c r="B230" s="6" t="s">
        <v>616</v>
      </c>
      <c r="C230" s="6" t="s">
        <v>617</v>
      </c>
      <c r="D230" s="5" t="s">
        <v>181</v>
      </c>
      <c r="E230" s="7">
        <v>100</v>
      </c>
      <c r="F230" s="7"/>
      <c r="G230" s="7">
        <v>10931.91</v>
      </c>
      <c r="H230" s="7"/>
      <c r="I230" s="7"/>
      <c r="J230" s="7"/>
      <c r="K230" s="7">
        <v>10932</v>
      </c>
      <c r="L230" s="7"/>
      <c r="M230" s="7"/>
    </row>
    <row r="231" ht="30.6" customHeight="1" spans="1:13">
      <c r="A231" s="6" t="s">
        <v>181</v>
      </c>
      <c r="B231" s="6" t="s">
        <v>577</v>
      </c>
      <c r="C231" s="6" t="s">
        <v>618</v>
      </c>
      <c r="D231" s="5" t="s">
        <v>181</v>
      </c>
      <c r="E231" s="7">
        <v>100</v>
      </c>
      <c r="F231" s="7"/>
      <c r="G231" s="7">
        <v>8344.95</v>
      </c>
      <c r="H231" s="7"/>
      <c r="I231" s="7"/>
      <c r="J231" s="7"/>
      <c r="K231" s="7">
        <v>8345</v>
      </c>
      <c r="L231" s="7"/>
      <c r="M231" s="7"/>
    </row>
    <row r="232" ht="30.6" customHeight="1" spans="1:13">
      <c r="A232" s="6" t="s">
        <v>181</v>
      </c>
      <c r="B232" s="6" t="s">
        <v>593</v>
      </c>
      <c r="C232" s="6" t="s">
        <v>619</v>
      </c>
      <c r="D232" s="5" t="s">
        <v>181</v>
      </c>
      <c r="E232" s="7">
        <v>100</v>
      </c>
      <c r="F232" s="7"/>
      <c r="G232" s="7">
        <v>27.09</v>
      </c>
      <c r="H232" s="7"/>
      <c r="I232" s="7"/>
      <c r="J232" s="7"/>
      <c r="K232" s="7">
        <v>27</v>
      </c>
      <c r="L232" s="7"/>
      <c r="M232" s="7"/>
    </row>
    <row r="233" ht="30.6" customHeight="1" spans="1:13">
      <c r="A233" s="6" t="s">
        <v>181</v>
      </c>
      <c r="B233" s="6" t="s">
        <v>612</v>
      </c>
      <c r="C233" s="6" t="s">
        <v>620</v>
      </c>
      <c r="D233" s="5" t="s">
        <v>181</v>
      </c>
      <c r="E233" s="7">
        <v>100</v>
      </c>
      <c r="F233" s="7"/>
      <c r="G233" s="7">
        <v>2559.87</v>
      </c>
      <c r="H233" s="7"/>
      <c r="I233" s="7"/>
      <c r="J233" s="7"/>
      <c r="K233" s="7">
        <v>2560</v>
      </c>
      <c r="L233" s="7"/>
      <c r="M233" s="7"/>
    </row>
    <row r="234" ht="30.6" customHeight="1" spans="1:13">
      <c r="A234" s="6" t="s">
        <v>181</v>
      </c>
      <c r="B234" s="6" t="s">
        <v>627</v>
      </c>
      <c r="C234" s="6" t="s">
        <v>216</v>
      </c>
      <c r="D234" s="5" t="s">
        <v>181</v>
      </c>
      <c r="E234" s="7">
        <v>9</v>
      </c>
      <c r="F234" s="7"/>
      <c r="G234" s="7">
        <v>229316.71</v>
      </c>
      <c r="H234" s="7"/>
      <c r="I234" s="7"/>
      <c r="J234" s="7"/>
      <c r="K234" s="7">
        <v>20639</v>
      </c>
      <c r="L234" s="7"/>
      <c r="M234" s="7"/>
    </row>
    <row r="235" ht="18" customHeight="1" spans="1:13">
      <c r="A235" s="6" t="s">
        <v>181</v>
      </c>
      <c r="B235" s="6" t="s">
        <v>662</v>
      </c>
      <c r="C235" s="6" t="s">
        <v>640</v>
      </c>
      <c r="D235" s="5" t="s">
        <v>181</v>
      </c>
      <c r="E235" s="7">
        <v>100</v>
      </c>
      <c r="F235" s="7"/>
      <c r="G235" s="7">
        <v>249955.21</v>
      </c>
      <c r="H235" s="7"/>
      <c r="I235" s="7"/>
      <c r="J235" s="7"/>
      <c r="K235" s="7">
        <v>249955</v>
      </c>
      <c r="L235" s="7"/>
      <c r="M235" s="7"/>
    </row>
    <row r="236" ht="18" customHeight="1" spans="1:13">
      <c r="A236" s="6" t="s">
        <v>181</v>
      </c>
      <c r="B236" s="6" t="s">
        <v>631</v>
      </c>
      <c r="C236" s="6" t="s">
        <v>100</v>
      </c>
      <c r="D236" s="5" t="s">
        <v>181</v>
      </c>
      <c r="E236" s="7">
        <v>100</v>
      </c>
      <c r="F236" s="7"/>
      <c r="G236" s="7">
        <v>249955.21</v>
      </c>
      <c r="H236" s="7"/>
      <c r="I236" s="7"/>
      <c r="J236" s="7"/>
      <c r="K236" s="7">
        <v>249955</v>
      </c>
      <c r="L236" s="7"/>
      <c r="M236" s="7"/>
    </row>
    <row r="237" ht="18" customHeight="1" spans="1:13">
      <c r="A237" s="6" t="s">
        <v>181</v>
      </c>
      <c r="B237" s="6" t="s">
        <v>663</v>
      </c>
      <c r="C237" s="6" t="s">
        <v>173</v>
      </c>
      <c r="D237" s="5" t="s">
        <v>181</v>
      </c>
      <c r="E237" s="7">
        <v>100</v>
      </c>
      <c r="F237" s="7"/>
      <c r="G237" s="7">
        <v>249955.21</v>
      </c>
      <c r="H237" s="7"/>
      <c r="I237" s="7"/>
      <c r="J237" s="7"/>
      <c r="K237" s="7">
        <v>249955</v>
      </c>
      <c r="L237" s="7"/>
      <c r="M237" s="7"/>
    </row>
    <row r="238" ht="18" customHeight="1" spans="1:13">
      <c r="A238" s="6" t="s">
        <v>181</v>
      </c>
      <c r="B238" s="6" t="s">
        <v>181</v>
      </c>
      <c r="C238" s="6" t="s">
        <v>181</v>
      </c>
      <c r="D238" s="5" t="s">
        <v>181</v>
      </c>
      <c r="E238" s="7"/>
      <c r="F238" s="7"/>
      <c r="G238" s="7"/>
      <c r="H238" s="7"/>
      <c r="I238" s="7"/>
      <c r="J238" s="7"/>
      <c r="K238" s="7"/>
      <c r="L238" s="7"/>
      <c r="M238" s="7"/>
    </row>
    <row r="239" ht="18" customHeight="1" spans="1:13">
      <c r="A239" s="6" t="s">
        <v>596</v>
      </c>
      <c r="B239" s="6" t="s">
        <v>181</v>
      </c>
      <c r="C239" s="6" t="s">
        <v>745</v>
      </c>
      <c r="D239" s="5" t="s">
        <v>181</v>
      </c>
      <c r="E239" s="7"/>
      <c r="F239" s="7"/>
      <c r="G239" s="7"/>
      <c r="H239" s="7"/>
      <c r="I239" s="7"/>
      <c r="J239" s="7">
        <v>4699042</v>
      </c>
      <c r="K239" s="7">
        <v>7306320</v>
      </c>
      <c r="L239" s="7">
        <v>414431</v>
      </c>
      <c r="M239" s="7">
        <v>76039</v>
      </c>
    </row>
    <row r="240" ht="18" customHeight="1" spans="1:13">
      <c r="A240" s="6" t="s">
        <v>746</v>
      </c>
      <c r="B240" s="6" t="s">
        <v>181</v>
      </c>
      <c r="C240" s="6" t="s">
        <v>747</v>
      </c>
      <c r="D240" s="5" t="s">
        <v>181</v>
      </c>
      <c r="E240" s="7"/>
      <c r="F240" s="7"/>
      <c r="G240" s="7"/>
      <c r="H240" s="7"/>
      <c r="I240" s="7"/>
      <c r="J240" s="7">
        <v>4699042</v>
      </c>
      <c r="K240" s="7">
        <v>7306320</v>
      </c>
      <c r="L240" s="7">
        <v>414431</v>
      </c>
      <c r="M240" s="7">
        <v>76039</v>
      </c>
    </row>
    <row r="241" ht="18" customHeight="1" spans="1:13">
      <c r="A241" s="6" t="s">
        <v>181</v>
      </c>
      <c r="B241" s="6" t="s">
        <v>181</v>
      </c>
      <c r="C241" s="6" t="s">
        <v>748</v>
      </c>
      <c r="D241" s="5" t="s">
        <v>181</v>
      </c>
      <c r="E241" s="7"/>
      <c r="F241" s="7"/>
      <c r="G241" s="7"/>
      <c r="H241" s="7"/>
      <c r="I241" s="7"/>
      <c r="J241" s="7"/>
      <c r="K241" s="7"/>
      <c r="L241" s="7"/>
      <c r="M241" s="7"/>
    </row>
    <row r="242" ht="18" customHeight="1" spans="1:13">
      <c r="A242" s="6" t="s">
        <v>181</v>
      </c>
      <c r="B242" s="6" t="s">
        <v>749</v>
      </c>
      <c r="C242" s="6" t="s">
        <v>750</v>
      </c>
      <c r="D242" s="5" t="s">
        <v>360</v>
      </c>
      <c r="E242" s="7">
        <v>5</v>
      </c>
      <c r="F242" s="7"/>
      <c r="G242" s="7">
        <v>2227.22</v>
      </c>
      <c r="H242" s="7">
        <v>1014.59</v>
      </c>
      <c r="I242" s="7">
        <v>1173.88</v>
      </c>
      <c r="J242" s="7"/>
      <c r="K242" s="7">
        <v>11136</v>
      </c>
      <c r="L242" s="7">
        <v>5073</v>
      </c>
      <c r="M242" s="7">
        <v>5869</v>
      </c>
    </row>
    <row r="243" ht="18" customHeight="1" spans="1:13">
      <c r="A243" s="6" t="s">
        <v>181</v>
      </c>
      <c r="B243" s="6" t="s">
        <v>751</v>
      </c>
      <c r="C243" s="6" t="s">
        <v>752</v>
      </c>
      <c r="D243" s="5" t="s">
        <v>360</v>
      </c>
      <c r="E243" s="7">
        <v>2</v>
      </c>
      <c r="F243" s="7"/>
      <c r="G243" s="7">
        <v>3370.59</v>
      </c>
      <c r="H243" s="7">
        <v>1404.35</v>
      </c>
      <c r="I243" s="7">
        <v>1919.8</v>
      </c>
      <c r="J243" s="7"/>
      <c r="K243" s="7">
        <v>6741</v>
      </c>
      <c r="L243" s="7">
        <v>2809</v>
      </c>
      <c r="M243" s="7">
        <v>3840</v>
      </c>
    </row>
    <row r="244" ht="18" customHeight="1" spans="1:13">
      <c r="A244" s="6" t="s">
        <v>181</v>
      </c>
      <c r="B244" s="6" t="s">
        <v>181</v>
      </c>
      <c r="C244" s="6" t="s">
        <v>753</v>
      </c>
      <c r="D244" s="5" t="s">
        <v>181</v>
      </c>
      <c r="E244" s="7"/>
      <c r="F244" s="7"/>
      <c r="G244" s="7"/>
      <c r="H244" s="7"/>
      <c r="I244" s="7"/>
      <c r="J244" s="7"/>
      <c r="K244" s="7"/>
      <c r="L244" s="7"/>
      <c r="M244" s="7"/>
    </row>
    <row r="245" ht="18" customHeight="1" spans="1:13">
      <c r="A245" s="6" t="s">
        <v>181</v>
      </c>
      <c r="B245" s="6" t="s">
        <v>754</v>
      </c>
      <c r="C245" s="6" t="s">
        <v>755</v>
      </c>
      <c r="D245" s="5" t="s">
        <v>182</v>
      </c>
      <c r="E245" s="7">
        <v>7.672</v>
      </c>
      <c r="F245" s="7"/>
      <c r="G245" s="7">
        <v>622.67</v>
      </c>
      <c r="H245" s="7">
        <v>544.54</v>
      </c>
      <c r="I245" s="7">
        <v>69.49</v>
      </c>
      <c r="J245" s="7"/>
      <c r="K245" s="7">
        <v>4777</v>
      </c>
      <c r="L245" s="7">
        <v>4178</v>
      </c>
      <c r="M245" s="7">
        <v>533</v>
      </c>
    </row>
    <row r="246" ht="18" customHeight="1" spans="1:13">
      <c r="A246" s="6" t="s">
        <v>181</v>
      </c>
      <c r="B246" s="6" t="s">
        <v>756</v>
      </c>
      <c r="C246" s="6" t="s">
        <v>757</v>
      </c>
      <c r="D246" s="5" t="s">
        <v>182</v>
      </c>
      <c r="E246" s="7">
        <v>20.597</v>
      </c>
      <c r="F246" s="7"/>
      <c r="G246" s="7">
        <v>571.02</v>
      </c>
      <c r="H246" s="7">
        <v>499.35</v>
      </c>
      <c r="I246" s="7">
        <v>63.73</v>
      </c>
      <c r="J246" s="7"/>
      <c r="K246" s="7">
        <v>11761</v>
      </c>
      <c r="L246" s="7">
        <v>10285</v>
      </c>
      <c r="M246" s="7">
        <v>1313</v>
      </c>
    </row>
    <row r="247" ht="18" customHeight="1" spans="1:13">
      <c r="A247" s="6" t="s">
        <v>181</v>
      </c>
      <c r="B247" s="6" t="s">
        <v>758</v>
      </c>
      <c r="C247" s="6" t="s">
        <v>759</v>
      </c>
      <c r="D247" s="5" t="s">
        <v>182</v>
      </c>
      <c r="E247" s="7">
        <v>157.468</v>
      </c>
      <c r="F247" s="7"/>
      <c r="G247" s="7">
        <v>564.59</v>
      </c>
      <c r="H247" s="7">
        <v>482.05</v>
      </c>
      <c r="I247" s="7">
        <v>76.33</v>
      </c>
      <c r="J247" s="7"/>
      <c r="K247" s="7">
        <v>88905</v>
      </c>
      <c r="L247" s="7">
        <v>75907</v>
      </c>
      <c r="M247" s="7">
        <v>12020</v>
      </c>
    </row>
    <row r="248" ht="18" customHeight="1" spans="1:13">
      <c r="A248" s="6" t="s">
        <v>181</v>
      </c>
      <c r="B248" s="6" t="s">
        <v>760</v>
      </c>
      <c r="C248" s="6" t="s">
        <v>761</v>
      </c>
      <c r="D248" s="5" t="s">
        <v>182</v>
      </c>
      <c r="E248" s="7">
        <v>267.675</v>
      </c>
      <c r="F248" s="7"/>
      <c r="G248" s="7">
        <v>529.67</v>
      </c>
      <c r="H248" s="7">
        <v>452.29</v>
      </c>
      <c r="I248" s="7">
        <v>71.6</v>
      </c>
      <c r="J248" s="7"/>
      <c r="K248" s="7">
        <v>141779</v>
      </c>
      <c r="L248" s="7">
        <v>121067</v>
      </c>
      <c r="M248" s="7">
        <v>19166</v>
      </c>
    </row>
    <row r="249" ht="18" customHeight="1" spans="1:13">
      <c r="A249" s="6" t="s">
        <v>181</v>
      </c>
      <c r="B249" s="6" t="s">
        <v>762</v>
      </c>
      <c r="C249" s="6" t="s">
        <v>763</v>
      </c>
      <c r="D249" s="5" t="s">
        <v>182</v>
      </c>
      <c r="E249" s="7">
        <v>227.935</v>
      </c>
      <c r="F249" s="7"/>
      <c r="G249" s="7">
        <v>513.64</v>
      </c>
      <c r="H249" s="7">
        <v>438.57</v>
      </c>
      <c r="I249" s="7">
        <v>69.5</v>
      </c>
      <c r="J249" s="7"/>
      <c r="K249" s="7">
        <v>117077</v>
      </c>
      <c r="L249" s="7">
        <v>99965</v>
      </c>
      <c r="M249" s="7">
        <v>15841</v>
      </c>
    </row>
    <row r="250" ht="18" customHeight="1" spans="1:13">
      <c r="A250" s="6" t="s">
        <v>181</v>
      </c>
      <c r="B250" s="6" t="s">
        <v>181</v>
      </c>
      <c r="C250" s="6" t="s">
        <v>764</v>
      </c>
      <c r="D250" s="5" t="s">
        <v>660</v>
      </c>
      <c r="E250" s="7">
        <v>29.8</v>
      </c>
      <c r="F250" s="7"/>
      <c r="G250" s="7">
        <v>377865.42</v>
      </c>
      <c r="H250" s="7">
        <v>319284.1</v>
      </c>
      <c r="I250" s="7">
        <v>58581.32</v>
      </c>
      <c r="J250" s="7"/>
      <c r="K250" s="7">
        <v>112604</v>
      </c>
      <c r="L250" s="7">
        <v>95147</v>
      </c>
      <c r="M250" s="7">
        <v>17457</v>
      </c>
    </row>
    <row r="251" ht="18" customHeight="1" spans="1:13">
      <c r="A251" s="6" t="s">
        <v>181</v>
      </c>
      <c r="B251" s="6" t="s">
        <v>181</v>
      </c>
      <c r="C251" s="6" t="s">
        <v>702</v>
      </c>
      <c r="D251" s="5" t="s">
        <v>181</v>
      </c>
      <c r="E251" s="7"/>
      <c r="F251" s="7"/>
      <c r="G251" s="7"/>
      <c r="H251" s="7"/>
      <c r="I251" s="7"/>
      <c r="J251" s="7">
        <v>20905</v>
      </c>
      <c r="K251" s="7"/>
      <c r="L251" s="7"/>
      <c r="M251" s="7"/>
    </row>
    <row r="252" ht="18" customHeight="1" spans="1:13">
      <c r="A252" s="6" t="s">
        <v>181</v>
      </c>
      <c r="B252" s="6" t="s">
        <v>181</v>
      </c>
      <c r="C252" s="6" t="s">
        <v>703</v>
      </c>
      <c r="D252" s="5" t="s">
        <v>181</v>
      </c>
      <c r="E252" s="7"/>
      <c r="F252" s="7"/>
      <c r="G252" s="7"/>
      <c r="H252" s="7"/>
      <c r="I252" s="7"/>
      <c r="J252" s="7">
        <v>4699042</v>
      </c>
      <c r="K252" s="7"/>
      <c r="L252" s="7"/>
      <c r="M252" s="7"/>
    </row>
    <row r="253" ht="18" customHeight="1" spans="1:13">
      <c r="A253" s="6" t="s">
        <v>181</v>
      </c>
      <c r="B253" s="6" t="s">
        <v>181</v>
      </c>
      <c r="C253" s="6" t="s">
        <v>562</v>
      </c>
      <c r="D253" s="5" t="s">
        <v>181</v>
      </c>
      <c r="E253" s="7"/>
      <c r="F253" s="7"/>
      <c r="G253" s="7"/>
      <c r="H253" s="7"/>
      <c r="I253" s="7"/>
      <c r="J253" s="7">
        <v>4699042</v>
      </c>
      <c r="K253" s="7">
        <v>494780</v>
      </c>
      <c r="L253" s="7">
        <v>414431</v>
      </c>
      <c r="M253" s="7">
        <v>76039</v>
      </c>
    </row>
    <row r="254" ht="18" customHeight="1" spans="1:13">
      <c r="A254" s="6" t="s">
        <v>181</v>
      </c>
      <c r="B254" s="6" t="s">
        <v>181</v>
      </c>
      <c r="C254" s="6" t="s">
        <v>181</v>
      </c>
      <c r="D254" s="5" t="s">
        <v>181</v>
      </c>
      <c r="E254" s="7"/>
      <c r="F254" s="7"/>
      <c r="G254" s="7"/>
      <c r="H254" s="7"/>
      <c r="I254" s="7"/>
      <c r="J254" s="7"/>
      <c r="K254" s="7"/>
      <c r="L254" s="7"/>
      <c r="M254" s="7"/>
    </row>
    <row r="255" ht="18" customHeight="1" spans="1:13">
      <c r="A255" s="6" t="s">
        <v>181</v>
      </c>
      <c r="B255" s="6" t="s">
        <v>354</v>
      </c>
      <c r="C255" s="6" t="s">
        <v>210</v>
      </c>
      <c r="D255" s="5" t="s">
        <v>181</v>
      </c>
      <c r="E255" s="7">
        <v>100</v>
      </c>
      <c r="F255" s="7"/>
      <c r="G255" s="7">
        <v>5450029.03</v>
      </c>
      <c r="H255" s="7"/>
      <c r="I255" s="7"/>
      <c r="J255" s="7"/>
      <c r="K255" s="7">
        <v>5450029</v>
      </c>
      <c r="L255" s="7"/>
      <c r="M255" s="7"/>
    </row>
    <row r="256" ht="18" customHeight="1" spans="1:13">
      <c r="A256" s="6" t="s">
        <v>181</v>
      </c>
      <c r="B256" s="6" t="s">
        <v>577</v>
      </c>
      <c r="C256" s="6" t="s">
        <v>578</v>
      </c>
      <c r="D256" s="5" t="s">
        <v>181</v>
      </c>
      <c r="E256" s="7">
        <v>100</v>
      </c>
      <c r="F256" s="7"/>
      <c r="G256" s="7">
        <v>5193822.76</v>
      </c>
      <c r="H256" s="7"/>
      <c r="I256" s="7"/>
      <c r="J256" s="7"/>
      <c r="K256" s="7">
        <v>5193823</v>
      </c>
      <c r="L256" s="7"/>
      <c r="M256" s="7"/>
    </row>
    <row r="257" ht="18" customHeight="1" spans="1:13">
      <c r="A257" s="6" t="s">
        <v>181</v>
      </c>
      <c r="B257" s="6" t="s">
        <v>579</v>
      </c>
      <c r="C257" s="6" t="s">
        <v>580</v>
      </c>
      <c r="D257" s="5" t="s">
        <v>181</v>
      </c>
      <c r="E257" s="7">
        <v>100</v>
      </c>
      <c r="F257" s="7"/>
      <c r="G257" s="7">
        <v>494780.41</v>
      </c>
      <c r="H257" s="7"/>
      <c r="I257" s="7"/>
      <c r="J257" s="7"/>
      <c r="K257" s="7">
        <v>494780</v>
      </c>
      <c r="L257" s="7"/>
      <c r="M257" s="7"/>
    </row>
    <row r="258" ht="18" customHeight="1" spans="1:13">
      <c r="A258" s="6" t="s">
        <v>181</v>
      </c>
      <c r="B258" s="6" t="s">
        <v>581</v>
      </c>
      <c r="C258" s="6" t="s">
        <v>582</v>
      </c>
      <c r="D258" s="5" t="s">
        <v>181</v>
      </c>
      <c r="E258" s="7">
        <v>100</v>
      </c>
      <c r="F258" s="7"/>
      <c r="G258" s="7">
        <v>414430.76</v>
      </c>
      <c r="H258" s="7"/>
      <c r="I258" s="7"/>
      <c r="J258" s="7"/>
      <c r="K258" s="7">
        <v>414431</v>
      </c>
      <c r="L258" s="7"/>
      <c r="M258" s="7"/>
    </row>
    <row r="259" ht="18" customHeight="1" spans="1:13">
      <c r="A259" s="6" t="s">
        <v>181</v>
      </c>
      <c r="B259" s="6" t="s">
        <v>583</v>
      </c>
      <c r="C259" s="6" t="s">
        <v>584</v>
      </c>
      <c r="D259" s="5" t="s">
        <v>181</v>
      </c>
      <c r="E259" s="7">
        <v>100</v>
      </c>
      <c r="F259" s="7"/>
      <c r="G259" s="7">
        <v>4311.09</v>
      </c>
      <c r="H259" s="7"/>
      <c r="I259" s="7"/>
      <c r="J259" s="7"/>
      <c r="K259" s="7">
        <v>4311</v>
      </c>
      <c r="L259" s="7"/>
      <c r="M259" s="7"/>
    </row>
    <row r="260" ht="18" customHeight="1" spans="1:13">
      <c r="A260" s="6" t="s">
        <v>181</v>
      </c>
      <c r="B260" s="6" t="s">
        <v>585</v>
      </c>
      <c r="C260" s="6" t="s">
        <v>586</v>
      </c>
      <c r="D260" s="5" t="s">
        <v>181</v>
      </c>
      <c r="E260" s="7">
        <v>100</v>
      </c>
      <c r="F260" s="7"/>
      <c r="G260" s="7">
        <v>76038.55</v>
      </c>
      <c r="H260" s="7"/>
      <c r="I260" s="7"/>
      <c r="J260" s="7"/>
      <c r="K260" s="7">
        <v>76039</v>
      </c>
      <c r="L260" s="7"/>
      <c r="M260" s="7"/>
    </row>
    <row r="261" ht="18" customHeight="1" spans="1:13">
      <c r="A261" s="6" t="s">
        <v>181</v>
      </c>
      <c r="B261" s="6" t="s">
        <v>587</v>
      </c>
      <c r="C261" s="6" t="s">
        <v>588</v>
      </c>
      <c r="D261" s="5" t="s">
        <v>181</v>
      </c>
      <c r="E261" s="7">
        <v>100</v>
      </c>
      <c r="F261" s="7"/>
      <c r="G261" s="7">
        <v>4699042.36</v>
      </c>
      <c r="H261" s="7"/>
      <c r="I261" s="7"/>
      <c r="J261" s="7"/>
      <c r="K261" s="7">
        <v>4699042</v>
      </c>
      <c r="L261" s="7"/>
      <c r="M261" s="7"/>
    </row>
    <row r="262" ht="18" customHeight="1" spans="1:13">
      <c r="A262" s="6" t="s">
        <v>181</v>
      </c>
      <c r="B262" s="6" t="s">
        <v>591</v>
      </c>
      <c r="C262" s="6" t="s">
        <v>592</v>
      </c>
      <c r="D262" s="5" t="s">
        <v>181</v>
      </c>
      <c r="E262" s="7">
        <v>100</v>
      </c>
      <c r="F262" s="7"/>
      <c r="G262" s="7">
        <v>4699042.36</v>
      </c>
      <c r="H262" s="7"/>
      <c r="I262" s="7"/>
      <c r="J262" s="7"/>
      <c r="K262" s="7">
        <v>4699042</v>
      </c>
      <c r="L262" s="7"/>
      <c r="M262" s="7"/>
    </row>
    <row r="263" ht="18" customHeight="1" spans="1:13">
      <c r="A263" s="6" t="s">
        <v>181</v>
      </c>
      <c r="B263" s="6" t="s">
        <v>593</v>
      </c>
      <c r="C263" s="6" t="s">
        <v>258</v>
      </c>
      <c r="D263" s="5" t="s">
        <v>181</v>
      </c>
      <c r="E263" s="7">
        <v>100</v>
      </c>
      <c r="F263" s="7"/>
      <c r="G263" s="7">
        <v>256206.26</v>
      </c>
      <c r="H263" s="7"/>
      <c r="I263" s="7"/>
      <c r="J263" s="7"/>
      <c r="K263" s="7">
        <v>256206</v>
      </c>
      <c r="L263" s="7"/>
      <c r="M263" s="7"/>
    </row>
    <row r="264" ht="18" customHeight="1" spans="1:13">
      <c r="A264" s="6" t="s">
        <v>181</v>
      </c>
      <c r="B264" s="6" t="s">
        <v>594</v>
      </c>
      <c r="C264" s="6" t="s">
        <v>595</v>
      </c>
      <c r="D264" s="5" t="s">
        <v>181</v>
      </c>
      <c r="E264" s="7">
        <v>3.57</v>
      </c>
      <c r="F264" s="7"/>
      <c r="G264" s="7">
        <v>414430.76</v>
      </c>
      <c r="H264" s="7"/>
      <c r="I264" s="7"/>
      <c r="J264" s="7"/>
      <c r="K264" s="7">
        <v>14795</v>
      </c>
      <c r="L264" s="7"/>
      <c r="M264" s="7"/>
    </row>
    <row r="265" ht="18" customHeight="1" spans="1:13">
      <c r="A265" s="6" t="s">
        <v>181</v>
      </c>
      <c r="B265" s="6" t="s">
        <v>598</v>
      </c>
      <c r="C265" s="6" t="s">
        <v>599</v>
      </c>
      <c r="D265" s="5" t="s">
        <v>181</v>
      </c>
      <c r="E265" s="7">
        <v>3.82</v>
      </c>
      <c r="F265" s="7"/>
      <c r="G265" s="7">
        <v>414430.76</v>
      </c>
      <c r="H265" s="7"/>
      <c r="I265" s="7"/>
      <c r="J265" s="7"/>
      <c r="K265" s="7">
        <v>15831</v>
      </c>
      <c r="L265" s="7"/>
      <c r="M265" s="7"/>
    </row>
    <row r="266" ht="30.6" customHeight="1" spans="1:13">
      <c r="A266" s="6" t="s">
        <v>181</v>
      </c>
      <c r="B266" s="6" t="s">
        <v>602</v>
      </c>
      <c r="C266" s="6" t="s">
        <v>76</v>
      </c>
      <c r="D266" s="5" t="s">
        <v>181</v>
      </c>
      <c r="E266" s="7">
        <v>6.35</v>
      </c>
      <c r="F266" s="7"/>
      <c r="G266" s="7">
        <v>494780.41</v>
      </c>
      <c r="H266" s="7"/>
      <c r="I266" s="7"/>
      <c r="J266" s="7"/>
      <c r="K266" s="7">
        <v>31419</v>
      </c>
      <c r="L266" s="7"/>
      <c r="M266" s="7"/>
    </row>
    <row r="267" ht="30.6" customHeight="1" spans="1:13">
      <c r="A267" s="6" t="s">
        <v>181</v>
      </c>
      <c r="B267" s="6" t="s">
        <v>603</v>
      </c>
      <c r="C267" s="6" t="s">
        <v>604</v>
      </c>
      <c r="D267" s="5" t="s">
        <v>181</v>
      </c>
      <c r="E267" s="7">
        <v>2.36</v>
      </c>
      <c r="F267" s="7"/>
      <c r="G267" s="7">
        <v>414430.76</v>
      </c>
      <c r="H267" s="7"/>
      <c r="I267" s="7"/>
      <c r="J267" s="7"/>
      <c r="K267" s="7">
        <v>9781</v>
      </c>
      <c r="L267" s="7"/>
      <c r="M267" s="7"/>
    </row>
    <row r="268" ht="30.6" customHeight="1" spans="1:13">
      <c r="A268" s="6" t="s">
        <v>181</v>
      </c>
      <c r="B268" s="6" t="s">
        <v>605</v>
      </c>
      <c r="C268" s="6" t="s">
        <v>213</v>
      </c>
      <c r="D268" s="5" t="s">
        <v>181</v>
      </c>
      <c r="E268" s="7">
        <v>3.55</v>
      </c>
      <c r="F268" s="7"/>
      <c r="G268" s="7">
        <v>5193822.76</v>
      </c>
      <c r="H268" s="7"/>
      <c r="I268" s="7"/>
      <c r="J268" s="7"/>
      <c r="K268" s="7">
        <v>184381</v>
      </c>
      <c r="L268" s="7"/>
      <c r="M268" s="7"/>
    </row>
    <row r="269" ht="18" customHeight="1" spans="1:13">
      <c r="A269" s="6" t="s">
        <v>181</v>
      </c>
      <c r="B269" s="6" t="s">
        <v>606</v>
      </c>
      <c r="C269" s="6" t="s">
        <v>607</v>
      </c>
      <c r="D269" s="5" t="s">
        <v>181</v>
      </c>
      <c r="E269" s="7">
        <v>100</v>
      </c>
      <c r="F269" s="7"/>
      <c r="G269" s="7">
        <v>307924.18</v>
      </c>
      <c r="H269" s="7"/>
      <c r="I269" s="7"/>
      <c r="J269" s="7"/>
      <c r="K269" s="7">
        <v>307924</v>
      </c>
      <c r="L269" s="7"/>
      <c r="M269" s="7"/>
    </row>
    <row r="270" ht="18" customHeight="1" spans="1:13">
      <c r="A270" s="6" t="s">
        <v>181</v>
      </c>
      <c r="B270" s="6" t="s">
        <v>577</v>
      </c>
      <c r="C270" s="6" t="s">
        <v>608</v>
      </c>
      <c r="D270" s="5" t="s">
        <v>181</v>
      </c>
      <c r="E270" s="7">
        <v>100</v>
      </c>
      <c r="F270" s="7"/>
      <c r="G270" s="7">
        <v>154479.07</v>
      </c>
      <c r="H270" s="7"/>
      <c r="I270" s="7"/>
      <c r="J270" s="7"/>
      <c r="K270" s="7">
        <v>154479</v>
      </c>
      <c r="L270" s="7"/>
      <c r="M270" s="7"/>
    </row>
    <row r="271" ht="18" customHeight="1" spans="1:13">
      <c r="A271" s="6" t="s">
        <v>181</v>
      </c>
      <c r="B271" s="6" t="s">
        <v>579</v>
      </c>
      <c r="C271" s="6" t="s">
        <v>609</v>
      </c>
      <c r="D271" s="5" t="s">
        <v>181</v>
      </c>
      <c r="E271" s="7">
        <v>23.5</v>
      </c>
      <c r="F271" s="7"/>
      <c r="G271" s="7">
        <v>435152.3</v>
      </c>
      <c r="H271" s="7"/>
      <c r="I271" s="7"/>
      <c r="J271" s="7"/>
      <c r="K271" s="7">
        <v>102261</v>
      </c>
      <c r="L271" s="7"/>
      <c r="M271" s="7"/>
    </row>
    <row r="272" ht="18" customHeight="1" spans="1:13">
      <c r="A272" s="6" t="s">
        <v>181</v>
      </c>
      <c r="B272" s="6" t="s">
        <v>587</v>
      </c>
      <c r="C272" s="6" t="s">
        <v>610</v>
      </c>
      <c r="D272" s="5" t="s">
        <v>181</v>
      </c>
      <c r="E272" s="7">
        <v>12</v>
      </c>
      <c r="F272" s="7"/>
      <c r="G272" s="7">
        <v>435152.3</v>
      </c>
      <c r="H272" s="7"/>
      <c r="I272" s="7"/>
      <c r="J272" s="7"/>
      <c r="K272" s="7">
        <v>52218</v>
      </c>
      <c r="L272" s="7"/>
      <c r="M272" s="7"/>
    </row>
    <row r="273" ht="18" customHeight="1" spans="1:13">
      <c r="A273" s="6" t="s">
        <v>181</v>
      </c>
      <c r="B273" s="6" t="s">
        <v>593</v>
      </c>
      <c r="C273" s="6" t="s">
        <v>611</v>
      </c>
      <c r="D273" s="5" t="s">
        <v>181</v>
      </c>
      <c r="E273" s="7">
        <v>35.76</v>
      </c>
      <c r="F273" s="7"/>
      <c r="G273" s="7">
        <v>414430.76</v>
      </c>
      <c r="H273" s="7"/>
      <c r="I273" s="7"/>
      <c r="J273" s="7"/>
      <c r="K273" s="7">
        <v>148200</v>
      </c>
      <c r="L273" s="7"/>
      <c r="M273" s="7"/>
    </row>
    <row r="274" ht="18" customHeight="1" spans="1:13">
      <c r="A274" s="6" t="s">
        <v>181</v>
      </c>
      <c r="B274" s="6" t="s">
        <v>612</v>
      </c>
      <c r="C274" s="6" t="s">
        <v>613</v>
      </c>
      <c r="D274" s="5" t="s">
        <v>181</v>
      </c>
      <c r="E274" s="7">
        <v>1.06</v>
      </c>
      <c r="F274" s="7"/>
      <c r="G274" s="7">
        <v>494780.41</v>
      </c>
      <c r="H274" s="7"/>
      <c r="I274" s="7"/>
      <c r="J274" s="7"/>
      <c r="K274" s="7">
        <v>5245</v>
      </c>
      <c r="L274" s="7"/>
      <c r="M274" s="7"/>
    </row>
    <row r="275" ht="18" customHeight="1" spans="1:13">
      <c r="A275" s="6" t="s">
        <v>181</v>
      </c>
      <c r="B275" s="6" t="s">
        <v>614</v>
      </c>
      <c r="C275" s="6" t="s">
        <v>615</v>
      </c>
      <c r="D275" s="5" t="s">
        <v>181</v>
      </c>
      <c r="E275" s="7">
        <v>5</v>
      </c>
      <c r="F275" s="7"/>
      <c r="G275" s="7">
        <v>5757953.21</v>
      </c>
      <c r="H275" s="7"/>
      <c r="I275" s="7"/>
      <c r="J275" s="7"/>
      <c r="K275" s="7">
        <v>287898</v>
      </c>
      <c r="L275" s="7"/>
      <c r="M275" s="7"/>
    </row>
    <row r="276" ht="18" customHeight="1" spans="1:13">
      <c r="A276" s="6" t="s">
        <v>181</v>
      </c>
      <c r="B276" s="6" t="s">
        <v>616</v>
      </c>
      <c r="C276" s="6" t="s">
        <v>617</v>
      </c>
      <c r="D276" s="5" t="s">
        <v>181</v>
      </c>
      <c r="E276" s="7">
        <v>100</v>
      </c>
      <c r="F276" s="7"/>
      <c r="G276" s="7">
        <v>657195.08</v>
      </c>
      <c r="H276" s="7"/>
      <c r="I276" s="7"/>
      <c r="J276" s="7"/>
      <c r="K276" s="7">
        <v>657195</v>
      </c>
      <c r="L276" s="7"/>
      <c r="M276" s="7"/>
    </row>
    <row r="277" ht="18" customHeight="1" spans="1:13">
      <c r="A277" s="6" t="s">
        <v>181</v>
      </c>
      <c r="B277" s="6" t="s">
        <v>577</v>
      </c>
      <c r="C277" s="6" t="s">
        <v>618</v>
      </c>
      <c r="D277" s="5" t="s">
        <v>181</v>
      </c>
      <c r="E277" s="7">
        <v>100</v>
      </c>
      <c r="F277" s="7"/>
      <c r="G277" s="7">
        <v>44136.88</v>
      </c>
      <c r="H277" s="7"/>
      <c r="I277" s="7"/>
      <c r="J277" s="7"/>
      <c r="K277" s="7">
        <v>44137</v>
      </c>
      <c r="L277" s="7"/>
      <c r="M277" s="7"/>
    </row>
    <row r="278" ht="18" customHeight="1" spans="1:13">
      <c r="A278" s="6" t="s">
        <v>181</v>
      </c>
      <c r="B278" s="6" t="s">
        <v>593</v>
      </c>
      <c r="C278" s="6" t="s">
        <v>619</v>
      </c>
      <c r="D278" s="5" t="s">
        <v>181</v>
      </c>
      <c r="E278" s="7">
        <v>100</v>
      </c>
      <c r="F278" s="7"/>
      <c r="G278" s="7">
        <v>220.3</v>
      </c>
      <c r="H278" s="7"/>
      <c r="I278" s="7"/>
      <c r="J278" s="7"/>
      <c r="K278" s="7">
        <v>220</v>
      </c>
      <c r="L278" s="7"/>
      <c r="M278" s="7"/>
    </row>
    <row r="279" ht="18" customHeight="1" spans="1:13">
      <c r="A279" s="6" t="s">
        <v>181</v>
      </c>
      <c r="B279" s="6" t="s">
        <v>612</v>
      </c>
      <c r="C279" s="6" t="s">
        <v>620</v>
      </c>
      <c r="D279" s="5" t="s">
        <v>181</v>
      </c>
      <c r="E279" s="7">
        <v>100</v>
      </c>
      <c r="F279" s="7"/>
      <c r="G279" s="7">
        <v>3885.57</v>
      </c>
      <c r="H279" s="7"/>
      <c r="I279" s="7"/>
      <c r="J279" s="7"/>
      <c r="K279" s="7">
        <v>3886</v>
      </c>
      <c r="L279" s="7"/>
      <c r="M279" s="7"/>
    </row>
    <row r="280" ht="18" customHeight="1" spans="1:13">
      <c r="A280" s="6" t="s">
        <v>181</v>
      </c>
      <c r="B280" s="6" t="s">
        <v>621</v>
      </c>
      <c r="C280" s="6" t="s">
        <v>622</v>
      </c>
      <c r="D280" s="5" t="s">
        <v>181</v>
      </c>
      <c r="E280" s="7">
        <v>100</v>
      </c>
      <c r="F280" s="7"/>
      <c r="G280" s="7">
        <v>608952.34</v>
      </c>
      <c r="H280" s="7"/>
      <c r="I280" s="7"/>
      <c r="J280" s="7"/>
      <c r="K280" s="7">
        <v>608952</v>
      </c>
      <c r="L280" s="7"/>
      <c r="M280" s="7"/>
    </row>
    <row r="281" ht="18" customHeight="1" spans="1:13">
      <c r="A281" s="6" t="s">
        <v>181</v>
      </c>
      <c r="B281" s="6" t="s">
        <v>625</v>
      </c>
      <c r="C281" s="6" t="s">
        <v>626</v>
      </c>
      <c r="D281" s="5" t="s">
        <v>181</v>
      </c>
      <c r="E281" s="7">
        <v>100</v>
      </c>
      <c r="F281" s="7"/>
      <c r="G281" s="7">
        <v>608952.34</v>
      </c>
      <c r="H281" s="7"/>
      <c r="I281" s="7"/>
      <c r="J281" s="7"/>
      <c r="K281" s="7">
        <v>608952</v>
      </c>
      <c r="L281" s="7"/>
      <c r="M281" s="7"/>
    </row>
    <row r="282" ht="18" customHeight="1" spans="1:13">
      <c r="A282" s="6" t="s">
        <v>181</v>
      </c>
      <c r="B282" s="6" t="s">
        <v>627</v>
      </c>
      <c r="C282" s="6" t="s">
        <v>216</v>
      </c>
      <c r="D282" s="5" t="s">
        <v>181</v>
      </c>
      <c r="E282" s="7">
        <v>9</v>
      </c>
      <c r="F282" s="7"/>
      <c r="G282" s="7">
        <v>6703045.95</v>
      </c>
      <c r="H282" s="7"/>
      <c r="I282" s="7"/>
      <c r="J282" s="7"/>
      <c r="K282" s="7">
        <v>603274</v>
      </c>
      <c r="L282" s="7"/>
      <c r="M282" s="7"/>
    </row>
    <row r="283" ht="18" customHeight="1" spans="1:13">
      <c r="A283" s="6" t="s">
        <v>181</v>
      </c>
      <c r="B283" s="6" t="s">
        <v>662</v>
      </c>
      <c r="C283" s="6" t="s">
        <v>640</v>
      </c>
      <c r="D283" s="5" t="s">
        <v>181</v>
      </c>
      <c r="E283" s="7">
        <v>100</v>
      </c>
      <c r="F283" s="7"/>
      <c r="G283" s="7">
        <v>1998325.39</v>
      </c>
      <c r="H283" s="7"/>
      <c r="I283" s="7"/>
      <c r="J283" s="7"/>
      <c r="K283" s="7">
        <v>1998325</v>
      </c>
      <c r="L283" s="7"/>
      <c r="M283" s="7"/>
    </row>
    <row r="284" ht="18" customHeight="1" spans="1:13">
      <c r="A284" s="6" t="s">
        <v>181</v>
      </c>
      <c r="B284" s="6" t="s">
        <v>704</v>
      </c>
      <c r="C284" s="6" t="s">
        <v>705</v>
      </c>
      <c r="D284" s="5" t="s">
        <v>181</v>
      </c>
      <c r="E284" s="7">
        <v>100</v>
      </c>
      <c r="F284" s="7"/>
      <c r="G284" s="7">
        <v>5307994.7</v>
      </c>
      <c r="H284" s="7"/>
      <c r="I284" s="7"/>
      <c r="J284" s="7"/>
      <c r="K284" s="7">
        <v>5307995</v>
      </c>
      <c r="L284" s="7"/>
      <c r="M284" s="7"/>
    </row>
    <row r="285" ht="18" customHeight="1" spans="1:13">
      <c r="A285" s="6" t="s">
        <v>181</v>
      </c>
      <c r="B285" s="6" t="s">
        <v>631</v>
      </c>
      <c r="C285" s="6" t="s">
        <v>100</v>
      </c>
      <c r="D285" s="5" t="s">
        <v>181</v>
      </c>
      <c r="E285" s="7">
        <v>100</v>
      </c>
      <c r="F285" s="7"/>
      <c r="G285" s="7">
        <v>7306320.09</v>
      </c>
      <c r="H285" s="7"/>
      <c r="I285" s="7"/>
      <c r="J285" s="7"/>
      <c r="K285" s="7">
        <v>7306320</v>
      </c>
      <c r="L285" s="7"/>
      <c r="M285" s="7"/>
    </row>
    <row r="286" ht="18" customHeight="1" spans="1:13">
      <c r="A286" s="6" t="s">
        <v>181</v>
      </c>
      <c r="B286" s="6" t="s">
        <v>663</v>
      </c>
      <c r="C286" s="6" t="s">
        <v>173</v>
      </c>
      <c r="D286" s="5" t="s">
        <v>181</v>
      </c>
      <c r="E286" s="7">
        <v>100</v>
      </c>
      <c r="F286" s="7"/>
      <c r="G286" s="7">
        <v>7306320.09</v>
      </c>
      <c r="H286" s="7"/>
      <c r="I286" s="7"/>
      <c r="J286" s="7"/>
      <c r="K286" s="7">
        <v>7306320</v>
      </c>
      <c r="L286" s="7"/>
      <c r="M286" s="7"/>
    </row>
    <row r="287" ht="18" customHeight="1" spans="1:13">
      <c r="A287" s="6" t="s">
        <v>181</v>
      </c>
      <c r="B287" s="6" t="s">
        <v>181</v>
      </c>
      <c r="C287" s="6" t="s">
        <v>181</v>
      </c>
      <c r="D287" s="5" t="s">
        <v>181</v>
      </c>
      <c r="E287" s="7"/>
      <c r="F287" s="7"/>
      <c r="G287" s="7"/>
      <c r="H287" s="7"/>
      <c r="I287" s="7"/>
      <c r="J287" s="7"/>
      <c r="K287" s="7"/>
      <c r="L287" s="7"/>
      <c r="M287" s="7"/>
    </row>
    <row r="288" ht="18" customHeight="1" spans="1:13">
      <c r="A288" s="6" t="s">
        <v>612</v>
      </c>
      <c r="B288" s="6" t="s">
        <v>181</v>
      </c>
      <c r="C288" s="6" t="s">
        <v>569</v>
      </c>
      <c r="D288" s="5" t="s">
        <v>181</v>
      </c>
      <c r="E288" s="7"/>
      <c r="F288" s="7"/>
      <c r="G288" s="7"/>
      <c r="H288" s="7"/>
      <c r="I288" s="7"/>
      <c r="J288" s="7">
        <v>856188</v>
      </c>
      <c r="K288" s="7">
        <v>2530810</v>
      </c>
      <c r="L288" s="7">
        <v>566003</v>
      </c>
      <c r="M288" s="7">
        <v>138975</v>
      </c>
    </row>
    <row r="289" ht="18" customHeight="1" spans="1:13">
      <c r="A289" s="6" t="s">
        <v>765</v>
      </c>
      <c r="B289" s="6" t="s">
        <v>181</v>
      </c>
      <c r="C289" s="6" t="s">
        <v>766</v>
      </c>
      <c r="D289" s="5" t="s">
        <v>181</v>
      </c>
      <c r="E289" s="7"/>
      <c r="F289" s="7"/>
      <c r="G289" s="7"/>
      <c r="H289" s="7"/>
      <c r="I289" s="7"/>
      <c r="J289" s="7"/>
      <c r="K289" s="7">
        <v>2512</v>
      </c>
      <c r="L289" s="7">
        <v>823</v>
      </c>
      <c r="M289" s="7">
        <v>383</v>
      </c>
    </row>
    <row r="290" ht="18" customHeight="1" spans="1:13">
      <c r="A290" s="6" t="s">
        <v>181</v>
      </c>
      <c r="B290" s="6" t="s">
        <v>181</v>
      </c>
      <c r="C290" s="6" t="s">
        <v>644</v>
      </c>
      <c r="D290" s="5" t="s">
        <v>181</v>
      </c>
      <c r="E290" s="7"/>
      <c r="F290" s="7"/>
      <c r="G290" s="7"/>
      <c r="H290" s="7"/>
      <c r="I290" s="7"/>
      <c r="J290" s="7"/>
      <c r="K290" s="7"/>
      <c r="L290" s="7"/>
      <c r="M290" s="7"/>
    </row>
    <row r="291" ht="18" customHeight="1" spans="1:13">
      <c r="A291" s="6" t="s">
        <v>181</v>
      </c>
      <c r="B291" s="6" t="s">
        <v>645</v>
      </c>
      <c r="C291" s="6" t="s">
        <v>646</v>
      </c>
      <c r="D291" s="5" t="s">
        <v>647</v>
      </c>
      <c r="E291" s="7">
        <v>4.337</v>
      </c>
      <c r="F291" s="7"/>
      <c r="G291" s="7">
        <v>131.28</v>
      </c>
      <c r="H291" s="7">
        <v>123</v>
      </c>
      <c r="I291" s="7">
        <v>8.28</v>
      </c>
      <c r="J291" s="7"/>
      <c r="K291" s="7">
        <v>569</v>
      </c>
      <c r="L291" s="7">
        <v>533</v>
      </c>
      <c r="M291" s="7">
        <v>36</v>
      </c>
    </row>
    <row r="292" ht="18" customHeight="1" spans="1:13">
      <c r="A292" s="6" t="s">
        <v>181</v>
      </c>
      <c r="B292" s="6" t="s">
        <v>648</v>
      </c>
      <c r="C292" s="6" t="s">
        <v>649</v>
      </c>
      <c r="D292" s="5" t="s">
        <v>182</v>
      </c>
      <c r="E292" s="7">
        <v>8.673</v>
      </c>
      <c r="F292" s="7"/>
      <c r="G292" s="7">
        <v>46.02</v>
      </c>
      <c r="H292" s="7">
        <v>12.61</v>
      </c>
      <c r="I292" s="7">
        <v>26.19</v>
      </c>
      <c r="J292" s="7"/>
      <c r="K292" s="7">
        <v>399</v>
      </c>
      <c r="L292" s="7">
        <v>109</v>
      </c>
      <c r="M292" s="7">
        <v>227</v>
      </c>
    </row>
    <row r="293" ht="18" customHeight="1" spans="1:13">
      <c r="A293" s="6" t="s">
        <v>181</v>
      </c>
      <c r="B293" s="6" t="s">
        <v>650</v>
      </c>
      <c r="C293" s="6" t="s">
        <v>651</v>
      </c>
      <c r="D293" s="5" t="s">
        <v>647</v>
      </c>
      <c r="E293" s="7">
        <v>104.08</v>
      </c>
      <c r="F293" s="7"/>
      <c r="G293" s="7">
        <v>1.53</v>
      </c>
      <c r="H293" s="7">
        <v>0.51</v>
      </c>
      <c r="I293" s="7">
        <v>1.02</v>
      </c>
      <c r="J293" s="7"/>
      <c r="K293" s="7">
        <v>159</v>
      </c>
      <c r="L293" s="7">
        <v>53</v>
      </c>
      <c r="M293" s="7">
        <v>106</v>
      </c>
    </row>
    <row r="294" ht="18" customHeight="1" spans="1:13">
      <c r="A294" s="6" t="s">
        <v>181</v>
      </c>
      <c r="B294" s="6" t="s">
        <v>181</v>
      </c>
      <c r="C294" s="6" t="s">
        <v>659</v>
      </c>
      <c r="D294" s="5" t="s">
        <v>660</v>
      </c>
      <c r="E294" s="7">
        <v>22.6</v>
      </c>
      <c r="F294" s="7"/>
      <c r="G294" s="7">
        <v>533.45</v>
      </c>
      <c r="H294" s="7">
        <v>533.45</v>
      </c>
      <c r="I294" s="7"/>
      <c r="J294" s="7"/>
      <c r="K294" s="7">
        <v>121</v>
      </c>
      <c r="L294" s="7">
        <v>121</v>
      </c>
      <c r="M294" s="7"/>
    </row>
    <row r="295" ht="18" customHeight="1" spans="1:13">
      <c r="A295" s="6" t="s">
        <v>181</v>
      </c>
      <c r="B295" s="6" t="s">
        <v>181</v>
      </c>
      <c r="C295" s="6" t="s">
        <v>661</v>
      </c>
      <c r="D295" s="5" t="s">
        <v>660</v>
      </c>
      <c r="E295" s="7">
        <v>13</v>
      </c>
      <c r="F295" s="7"/>
      <c r="G295" s="7">
        <v>159.24</v>
      </c>
      <c r="H295" s="7">
        <v>53.08</v>
      </c>
      <c r="I295" s="7">
        <v>106.16</v>
      </c>
      <c r="J295" s="7"/>
      <c r="K295" s="7">
        <v>21</v>
      </c>
      <c r="L295" s="7">
        <v>7</v>
      </c>
      <c r="M295" s="7">
        <v>14</v>
      </c>
    </row>
    <row r="296" ht="18" customHeight="1" spans="1:13">
      <c r="A296" s="6" t="s">
        <v>181</v>
      </c>
      <c r="B296" s="6" t="s">
        <v>181</v>
      </c>
      <c r="C296" s="6" t="s">
        <v>562</v>
      </c>
      <c r="D296" s="5" t="s">
        <v>181</v>
      </c>
      <c r="E296" s="7"/>
      <c r="F296" s="7"/>
      <c r="G296" s="7"/>
      <c r="H296" s="7"/>
      <c r="I296" s="7"/>
      <c r="J296" s="7"/>
      <c r="K296" s="7">
        <v>1269</v>
      </c>
      <c r="L296" s="7">
        <v>823</v>
      </c>
      <c r="M296" s="7">
        <v>383</v>
      </c>
    </row>
    <row r="297" ht="18" customHeight="1" spans="1:13">
      <c r="A297" s="6" t="s">
        <v>181</v>
      </c>
      <c r="B297" s="6" t="s">
        <v>181</v>
      </c>
      <c r="C297" s="6" t="s">
        <v>181</v>
      </c>
      <c r="D297" s="5" t="s">
        <v>181</v>
      </c>
      <c r="E297" s="7"/>
      <c r="F297" s="7"/>
      <c r="G297" s="7"/>
      <c r="H297" s="7"/>
      <c r="I297" s="7"/>
      <c r="J297" s="7"/>
      <c r="K297" s="7"/>
      <c r="L297" s="7"/>
      <c r="M297" s="7"/>
    </row>
    <row r="298" ht="18" customHeight="1" spans="1:13">
      <c r="A298" s="6" t="s">
        <v>181</v>
      </c>
      <c r="B298" s="6" t="s">
        <v>354</v>
      </c>
      <c r="C298" s="6" t="s">
        <v>210</v>
      </c>
      <c r="D298" s="5" t="s">
        <v>181</v>
      </c>
      <c r="E298" s="7">
        <v>100</v>
      </c>
      <c r="F298" s="7"/>
      <c r="G298" s="7">
        <v>1474.9</v>
      </c>
      <c r="H298" s="7"/>
      <c r="I298" s="7"/>
      <c r="J298" s="7"/>
      <c r="K298" s="7">
        <v>1475</v>
      </c>
      <c r="L298" s="7"/>
      <c r="M298" s="7"/>
    </row>
    <row r="299" ht="18" customHeight="1" spans="1:13">
      <c r="A299" s="6" t="s">
        <v>181</v>
      </c>
      <c r="B299" s="6" t="s">
        <v>577</v>
      </c>
      <c r="C299" s="6" t="s">
        <v>578</v>
      </c>
      <c r="D299" s="5" t="s">
        <v>181</v>
      </c>
      <c r="E299" s="7">
        <v>100</v>
      </c>
      <c r="F299" s="7"/>
      <c r="G299" s="7">
        <v>1269</v>
      </c>
      <c r="H299" s="7"/>
      <c r="I299" s="7"/>
      <c r="J299" s="7"/>
      <c r="K299" s="7">
        <v>1269</v>
      </c>
      <c r="L299" s="7"/>
      <c r="M299" s="7"/>
    </row>
    <row r="300" ht="18" customHeight="1" spans="1:13">
      <c r="A300" s="6" t="s">
        <v>181</v>
      </c>
      <c r="B300" s="6" t="s">
        <v>579</v>
      </c>
      <c r="C300" s="6" t="s">
        <v>580</v>
      </c>
      <c r="D300" s="5" t="s">
        <v>181</v>
      </c>
      <c r="E300" s="7">
        <v>100</v>
      </c>
      <c r="F300" s="7"/>
      <c r="G300" s="7">
        <v>1269</v>
      </c>
      <c r="H300" s="7"/>
      <c r="I300" s="7"/>
      <c r="J300" s="7"/>
      <c r="K300" s="7">
        <v>1269</v>
      </c>
      <c r="L300" s="7"/>
      <c r="M300" s="7"/>
    </row>
    <row r="301" ht="30.6" customHeight="1" spans="1:13">
      <c r="A301" s="6" t="s">
        <v>181</v>
      </c>
      <c r="B301" s="6" t="s">
        <v>581</v>
      </c>
      <c r="C301" s="6" t="s">
        <v>582</v>
      </c>
      <c r="D301" s="5" t="s">
        <v>181</v>
      </c>
      <c r="E301" s="7">
        <v>100</v>
      </c>
      <c r="F301" s="7"/>
      <c r="G301" s="7">
        <v>823.36</v>
      </c>
      <c r="H301" s="7"/>
      <c r="I301" s="7"/>
      <c r="J301" s="7"/>
      <c r="K301" s="7">
        <v>823</v>
      </c>
      <c r="L301" s="7"/>
      <c r="M301" s="7"/>
    </row>
    <row r="302" ht="18" customHeight="1" spans="1:13">
      <c r="A302" s="6" t="s">
        <v>181</v>
      </c>
      <c r="B302" s="6" t="s">
        <v>583</v>
      </c>
      <c r="C302" s="6" t="s">
        <v>584</v>
      </c>
      <c r="D302" s="5" t="s">
        <v>181</v>
      </c>
      <c r="E302" s="7">
        <v>100</v>
      </c>
      <c r="F302" s="7"/>
      <c r="G302" s="7">
        <v>62.62</v>
      </c>
      <c r="H302" s="7"/>
      <c r="I302" s="7"/>
      <c r="J302" s="7"/>
      <c r="K302" s="7">
        <v>63</v>
      </c>
      <c r="L302" s="7"/>
      <c r="M302" s="7"/>
    </row>
    <row r="303" ht="18" customHeight="1" spans="1:13">
      <c r="A303" s="6" t="s">
        <v>181</v>
      </c>
      <c r="B303" s="6" t="s">
        <v>585</v>
      </c>
      <c r="C303" s="6" t="s">
        <v>586</v>
      </c>
      <c r="D303" s="5" t="s">
        <v>181</v>
      </c>
      <c r="E303" s="7">
        <v>100</v>
      </c>
      <c r="F303" s="7"/>
      <c r="G303" s="7">
        <v>383.02</v>
      </c>
      <c r="H303" s="7"/>
      <c r="I303" s="7"/>
      <c r="J303" s="7"/>
      <c r="K303" s="7">
        <v>383</v>
      </c>
      <c r="L303" s="7"/>
      <c r="M303" s="7"/>
    </row>
    <row r="304" ht="18" customHeight="1" spans="1:13">
      <c r="A304" s="6" t="s">
        <v>181</v>
      </c>
      <c r="B304" s="6" t="s">
        <v>593</v>
      </c>
      <c r="C304" s="6" t="s">
        <v>258</v>
      </c>
      <c r="D304" s="5" t="s">
        <v>181</v>
      </c>
      <c r="E304" s="7">
        <v>100</v>
      </c>
      <c r="F304" s="7"/>
      <c r="G304" s="7">
        <v>205.91</v>
      </c>
      <c r="H304" s="7"/>
      <c r="I304" s="7"/>
      <c r="J304" s="7"/>
      <c r="K304" s="7">
        <v>206</v>
      </c>
      <c r="L304" s="7"/>
      <c r="M304" s="7"/>
    </row>
    <row r="305" ht="18" customHeight="1" spans="1:13">
      <c r="A305" s="6" t="s">
        <v>181</v>
      </c>
      <c r="B305" s="6" t="s">
        <v>594</v>
      </c>
      <c r="C305" s="6" t="s">
        <v>595</v>
      </c>
      <c r="D305" s="5" t="s">
        <v>181</v>
      </c>
      <c r="E305" s="7">
        <v>3.57</v>
      </c>
      <c r="F305" s="7"/>
      <c r="G305" s="7">
        <v>823.36</v>
      </c>
      <c r="H305" s="7"/>
      <c r="I305" s="7"/>
      <c r="J305" s="7"/>
      <c r="K305" s="7">
        <v>29</v>
      </c>
      <c r="L305" s="7"/>
      <c r="M305" s="7"/>
    </row>
    <row r="306" ht="18" customHeight="1" spans="1:13">
      <c r="A306" s="6" t="s">
        <v>181</v>
      </c>
      <c r="B306" s="6" t="s">
        <v>598</v>
      </c>
      <c r="C306" s="6" t="s">
        <v>599</v>
      </c>
      <c r="D306" s="5" t="s">
        <v>181</v>
      </c>
      <c r="E306" s="7">
        <v>3.82</v>
      </c>
      <c r="F306" s="7"/>
      <c r="G306" s="7">
        <v>823.36</v>
      </c>
      <c r="H306" s="7"/>
      <c r="I306" s="7"/>
      <c r="J306" s="7"/>
      <c r="K306" s="7">
        <v>31</v>
      </c>
      <c r="L306" s="7"/>
      <c r="M306" s="7"/>
    </row>
    <row r="307" ht="18" customHeight="1" spans="1:13">
      <c r="A307" s="6" t="s">
        <v>181</v>
      </c>
      <c r="B307" s="6" t="s">
        <v>602</v>
      </c>
      <c r="C307" s="6" t="s">
        <v>76</v>
      </c>
      <c r="D307" s="5" t="s">
        <v>181</v>
      </c>
      <c r="E307" s="7">
        <v>6.35</v>
      </c>
      <c r="F307" s="7"/>
      <c r="G307" s="7">
        <v>1269</v>
      </c>
      <c r="H307" s="7"/>
      <c r="I307" s="7"/>
      <c r="J307" s="7"/>
      <c r="K307" s="7">
        <v>81</v>
      </c>
      <c r="L307" s="7"/>
      <c r="M307" s="7"/>
    </row>
    <row r="308" ht="18" customHeight="1" spans="1:13">
      <c r="A308" s="6" t="s">
        <v>181</v>
      </c>
      <c r="B308" s="6" t="s">
        <v>603</v>
      </c>
      <c r="C308" s="6" t="s">
        <v>604</v>
      </c>
      <c r="D308" s="5" t="s">
        <v>181</v>
      </c>
      <c r="E308" s="7">
        <v>2.36</v>
      </c>
      <c r="F308" s="7"/>
      <c r="G308" s="7">
        <v>823.36</v>
      </c>
      <c r="H308" s="7"/>
      <c r="I308" s="7"/>
      <c r="J308" s="7"/>
      <c r="K308" s="7">
        <v>19</v>
      </c>
      <c r="L308" s="7"/>
      <c r="M308" s="7"/>
    </row>
    <row r="309" ht="18" customHeight="1" spans="1:13">
      <c r="A309" s="6" t="s">
        <v>181</v>
      </c>
      <c r="B309" s="6" t="s">
        <v>605</v>
      </c>
      <c r="C309" s="6" t="s">
        <v>213</v>
      </c>
      <c r="D309" s="5" t="s">
        <v>181</v>
      </c>
      <c r="E309" s="7">
        <v>3.55</v>
      </c>
      <c r="F309" s="7"/>
      <c r="G309" s="7">
        <v>1269</v>
      </c>
      <c r="H309" s="7"/>
      <c r="I309" s="7"/>
      <c r="J309" s="7"/>
      <c r="K309" s="7">
        <v>45</v>
      </c>
      <c r="L309" s="7"/>
      <c r="M309" s="7"/>
    </row>
    <row r="310" ht="18" customHeight="1" spans="1:13">
      <c r="A310" s="6" t="s">
        <v>181</v>
      </c>
      <c r="B310" s="6" t="s">
        <v>606</v>
      </c>
      <c r="C310" s="6" t="s">
        <v>607</v>
      </c>
      <c r="D310" s="5" t="s">
        <v>181</v>
      </c>
      <c r="E310" s="7">
        <v>100</v>
      </c>
      <c r="F310" s="7"/>
      <c r="G310" s="7">
        <v>614.79</v>
      </c>
      <c r="H310" s="7"/>
      <c r="I310" s="7"/>
      <c r="J310" s="7"/>
      <c r="K310" s="7">
        <v>615</v>
      </c>
      <c r="L310" s="7"/>
      <c r="M310" s="7"/>
    </row>
    <row r="311" ht="18" customHeight="1" spans="1:13">
      <c r="A311" s="6" t="s">
        <v>181</v>
      </c>
      <c r="B311" s="6" t="s">
        <v>577</v>
      </c>
      <c r="C311" s="6" t="s">
        <v>608</v>
      </c>
      <c r="D311" s="5" t="s">
        <v>181</v>
      </c>
      <c r="E311" s="7">
        <v>100</v>
      </c>
      <c r="F311" s="7"/>
      <c r="G311" s="7">
        <v>306.91</v>
      </c>
      <c r="H311" s="7"/>
      <c r="I311" s="7"/>
      <c r="J311" s="7"/>
      <c r="K311" s="7">
        <v>307</v>
      </c>
      <c r="L311" s="7"/>
      <c r="M311" s="7"/>
    </row>
    <row r="312" ht="18" customHeight="1" spans="1:13">
      <c r="A312" s="6" t="s">
        <v>181</v>
      </c>
      <c r="B312" s="6" t="s">
        <v>579</v>
      </c>
      <c r="C312" s="6" t="s">
        <v>609</v>
      </c>
      <c r="D312" s="5" t="s">
        <v>181</v>
      </c>
      <c r="E312" s="7">
        <v>23.5</v>
      </c>
      <c r="F312" s="7"/>
      <c r="G312" s="7">
        <v>864.53</v>
      </c>
      <c r="H312" s="7"/>
      <c r="I312" s="7"/>
      <c r="J312" s="7"/>
      <c r="K312" s="7">
        <v>203</v>
      </c>
      <c r="L312" s="7"/>
      <c r="M312" s="7"/>
    </row>
    <row r="313" ht="18" customHeight="1" spans="1:13">
      <c r="A313" s="6" t="s">
        <v>181</v>
      </c>
      <c r="B313" s="6" t="s">
        <v>587</v>
      </c>
      <c r="C313" s="6" t="s">
        <v>610</v>
      </c>
      <c r="D313" s="5" t="s">
        <v>181</v>
      </c>
      <c r="E313" s="7">
        <v>12</v>
      </c>
      <c r="F313" s="7"/>
      <c r="G313" s="7">
        <v>864.53</v>
      </c>
      <c r="H313" s="7"/>
      <c r="I313" s="7"/>
      <c r="J313" s="7"/>
      <c r="K313" s="7">
        <v>104</v>
      </c>
      <c r="L313" s="7"/>
      <c r="M313" s="7"/>
    </row>
    <row r="314" ht="18" customHeight="1" spans="1:13">
      <c r="A314" s="6" t="s">
        <v>181</v>
      </c>
      <c r="B314" s="6" t="s">
        <v>593</v>
      </c>
      <c r="C314" s="6" t="s">
        <v>611</v>
      </c>
      <c r="D314" s="5" t="s">
        <v>181</v>
      </c>
      <c r="E314" s="7">
        <v>35.76</v>
      </c>
      <c r="F314" s="7"/>
      <c r="G314" s="7">
        <v>823.36</v>
      </c>
      <c r="H314" s="7"/>
      <c r="I314" s="7"/>
      <c r="J314" s="7"/>
      <c r="K314" s="7">
        <v>294</v>
      </c>
      <c r="L314" s="7"/>
      <c r="M314" s="7"/>
    </row>
    <row r="315" ht="18" customHeight="1" spans="1:13">
      <c r="A315" s="6" t="s">
        <v>181</v>
      </c>
      <c r="B315" s="6" t="s">
        <v>612</v>
      </c>
      <c r="C315" s="6" t="s">
        <v>613</v>
      </c>
      <c r="D315" s="5" t="s">
        <v>181</v>
      </c>
      <c r="E315" s="7">
        <v>1.06</v>
      </c>
      <c r="F315" s="7"/>
      <c r="G315" s="7">
        <v>1269</v>
      </c>
      <c r="H315" s="7"/>
      <c r="I315" s="7"/>
      <c r="J315" s="7"/>
      <c r="K315" s="7">
        <v>13</v>
      </c>
      <c r="L315" s="7"/>
      <c r="M315" s="7"/>
    </row>
    <row r="316" ht="18" customHeight="1" spans="1:13">
      <c r="A316" s="6" t="s">
        <v>181</v>
      </c>
      <c r="B316" s="6" t="s">
        <v>614</v>
      </c>
      <c r="C316" s="6" t="s">
        <v>615</v>
      </c>
      <c r="D316" s="5" t="s">
        <v>181</v>
      </c>
      <c r="E316" s="7">
        <v>5</v>
      </c>
      <c r="F316" s="7"/>
      <c r="G316" s="7">
        <v>2089.7</v>
      </c>
      <c r="H316" s="7"/>
      <c r="I316" s="7"/>
      <c r="J316" s="7"/>
      <c r="K316" s="7">
        <v>104</v>
      </c>
      <c r="L316" s="7"/>
      <c r="M316" s="7"/>
    </row>
    <row r="317" ht="18" customHeight="1" spans="1:13">
      <c r="A317" s="6" t="s">
        <v>181</v>
      </c>
      <c r="B317" s="6" t="s">
        <v>616</v>
      </c>
      <c r="C317" s="6" t="s">
        <v>617</v>
      </c>
      <c r="D317" s="5" t="s">
        <v>181</v>
      </c>
      <c r="E317" s="7">
        <v>100</v>
      </c>
      <c r="F317" s="7"/>
      <c r="G317" s="7">
        <v>110.46</v>
      </c>
      <c r="H317" s="7"/>
      <c r="I317" s="7"/>
      <c r="J317" s="7"/>
      <c r="K317" s="7">
        <v>110</v>
      </c>
      <c r="L317" s="7"/>
      <c r="M317" s="7"/>
    </row>
    <row r="318" ht="18" customHeight="1" spans="1:13">
      <c r="A318" s="6" t="s">
        <v>181</v>
      </c>
      <c r="B318" s="6" t="s">
        <v>577</v>
      </c>
      <c r="C318" s="6" t="s">
        <v>618</v>
      </c>
      <c r="D318" s="5" t="s">
        <v>181</v>
      </c>
      <c r="E318" s="7">
        <v>100</v>
      </c>
      <c r="F318" s="7"/>
      <c r="G318" s="7">
        <v>87.69</v>
      </c>
      <c r="H318" s="7"/>
      <c r="I318" s="7"/>
      <c r="J318" s="7"/>
      <c r="K318" s="7">
        <v>88</v>
      </c>
      <c r="L318" s="7"/>
      <c r="M318" s="7"/>
    </row>
    <row r="319" ht="18" customHeight="1" spans="1:13">
      <c r="A319" s="6" t="s">
        <v>181</v>
      </c>
      <c r="B319" s="6" t="s">
        <v>593</v>
      </c>
      <c r="C319" s="6" t="s">
        <v>619</v>
      </c>
      <c r="D319" s="5" t="s">
        <v>181</v>
      </c>
      <c r="E319" s="7">
        <v>100</v>
      </c>
      <c r="F319" s="7"/>
      <c r="G319" s="7">
        <v>3.2</v>
      </c>
      <c r="H319" s="7"/>
      <c r="I319" s="7"/>
      <c r="J319" s="7"/>
      <c r="K319" s="7">
        <v>3</v>
      </c>
      <c r="L319" s="7"/>
      <c r="M319" s="7"/>
    </row>
    <row r="320" ht="18" customHeight="1" spans="1:13">
      <c r="A320" s="6" t="s">
        <v>181</v>
      </c>
      <c r="B320" s="6" t="s">
        <v>612</v>
      </c>
      <c r="C320" s="6" t="s">
        <v>620</v>
      </c>
      <c r="D320" s="5" t="s">
        <v>181</v>
      </c>
      <c r="E320" s="7">
        <v>100</v>
      </c>
      <c r="F320" s="7"/>
      <c r="G320" s="7">
        <v>19.57</v>
      </c>
      <c r="H320" s="7"/>
      <c r="I320" s="7"/>
      <c r="J320" s="7"/>
      <c r="K320" s="7">
        <v>20</v>
      </c>
      <c r="L320" s="7"/>
      <c r="M320" s="7"/>
    </row>
    <row r="321" ht="18" customHeight="1" spans="1:13">
      <c r="A321" s="6" t="s">
        <v>181</v>
      </c>
      <c r="B321" s="6" t="s">
        <v>627</v>
      </c>
      <c r="C321" s="6" t="s">
        <v>216</v>
      </c>
      <c r="D321" s="5" t="s">
        <v>181</v>
      </c>
      <c r="E321" s="7">
        <v>9</v>
      </c>
      <c r="F321" s="7"/>
      <c r="G321" s="7">
        <v>2304.64</v>
      </c>
      <c r="H321" s="7"/>
      <c r="I321" s="7"/>
      <c r="J321" s="7"/>
      <c r="K321" s="7">
        <v>207</v>
      </c>
      <c r="L321" s="7"/>
      <c r="M321" s="7"/>
    </row>
    <row r="322" ht="18" customHeight="1" spans="1:13">
      <c r="A322" s="6" t="s">
        <v>181</v>
      </c>
      <c r="B322" s="6" t="s">
        <v>662</v>
      </c>
      <c r="C322" s="6" t="s">
        <v>640</v>
      </c>
      <c r="D322" s="5" t="s">
        <v>181</v>
      </c>
      <c r="E322" s="7">
        <v>100</v>
      </c>
      <c r="F322" s="7"/>
      <c r="G322" s="7">
        <v>2512.06</v>
      </c>
      <c r="H322" s="7"/>
      <c r="I322" s="7"/>
      <c r="J322" s="7"/>
      <c r="K322" s="7">
        <v>2512</v>
      </c>
      <c r="L322" s="7"/>
      <c r="M322" s="7"/>
    </row>
    <row r="323" ht="18" customHeight="1" spans="1:13">
      <c r="A323" s="6" t="s">
        <v>181</v>
      </c>
      <c r="B323" s="6" t="s">
        <v>631</v>
      </c>
      <c r="C323" s="6" t="s">
        <v>100</v>
      </c>
      <c r="D323" s="5" t="s">
        <v>181</v>
      </c>
      <c r="E323" s="7">
        <v>100</v>
      </c>
      <c r="F323" s="7"/>
      <c r="G323" s="7">
        <v>2512.06</v>
      </c>
      <c r="H323" s="7"/>
      <c r="I323" s="7"/>
      <c r="J323" s="7"/>
      <c r="K323" s="7">
        <v>2512</v>
      </c>
      <c r="L323" s="7"/>
      <c r="M323" s="7"/>
    </row>
    <row r="324" ht="18" customHeight="1" spans="1:13">
      <c r="A324" s="6" t="s">
        <v>181</v>
      </c>
      <c r="B324" s="6" t="s">
        <v>663</v>
      </c>
      <c r="C324" s="6" t="s">
        <v>173</v>
      </c>
      <c r="D324" s="5" t="s">
        <v>181</v>
      </c>
      <c r="E324" s="7">
        <v>100</v>
      </c>
      <c r="F324" s="7"/>
      <c r="G324" s="7">
        <v>2512.06</v>
      </c>
      <c r="H324" s="7"/>
      <c r="I324" s="7"/>
      <c r="J324" s="7"/>
      <c r="K324" s="7">
        <v>2512</v>
      </c>
      <c r="L324" s="7"/>
      <c r="M324" s="7"/>
    </row>
    <row r="325" ht="18" customHeight="1" spans="1:13">
      <c r="A325" s="6" t="s">
        <v>181</v>
      </c>
      <c r="B325" s="6" t="s">
        <v>181</v>
      </c>
      <c r="C325" s="6" t="s">
        <v>181</v>
      </c>
      <c r="D325" s="5" t="s">
        <v>181</v>
      </c>
      <c r="E325" s="7"/>
      <c r="F325" s="7"/>
      <c r="G325" s="7"/>
      <c r="H325" s="7"/>
      <c r="I325" s="7"/>
      <c r="J325" s="7"/>
      <c r="K325" s="7"/>
      <c r="L325" s="7"/>
      <c r="M325" s="7"/>
    </row>
    <row r="326" ht="18" customHeight="1" spans="1:13">
      <c r="A326" s="6" t="s">
        <v>767</v>
      </c>
      <c r="B326" s="6" t="s">
        <v>181</v>
      </c>
      <c r="C326" s="6" t="s">
        <v>768</v>
      </c>
      <c r="D326" s="5" t="s">
        <v>181</v>
      </c>
      <c r="E326" s="7"/>
      <c r="F326" s="7"/>
      <c r="G326" s="7"/>
      <c r="H326" s="7"/>
      <c r="I326" s="7"/>
      <c r="J326" s="7"/>
      <c r="K326" s="7">
        <v>122400</v>
      </c>
      <c r="L326" s="7">
        <v>50910</v>
      </c>
      <c r="M326" s="7">
        <v>2236</v>
      </c>
    </row>
    <row r="327" ht="18" customHeight="1" spans="1:13">
      <c r="A327" s="6" t="s">
        <v>181</v>
      </c>
      <c r="B327" s="6" t="s">
        <v>181</v>
      </c>
      <c r="C327" s="6" t="s">
        <v>769</v>
      </c>
      <c r="D327" s="5" t="s">
        <v>181</v>
      </c>
      <c r="E327" s="7"/>
      <c r="F327" s="7"/>
      <c r="G327" s="7"/>
      <c r="H327" s="7"/>
      <c r="I327" s="7"/>
      <c r="J327" s="7"/>
      <c r="K327" s="7"/>
      <c r="L327" s="7"/>
      <c r="M327" s="7"/>
    </row>
    <row r="328" ht="18" customHeight="1" spans="1:13">
      <c r="A328" s="6" t="s">
        <v>181</v>
      </c>
      <c r="B328" s="6" t="s">
        <v>770</v>
      </c>
      <c r="C328" s="6" t="s">
        <v>771</v>
      </c>
      <c r="D328" s="5" t="s">
        <v>200</v>
      </c>
      <c r="E328" s="7">
        <v>1141.618</v>
      </c>
      <c r="F328" s="7"/>
      <c r="G328" s="7">
        <v>28.56</v>
      </c>
      <c r="H328" s="7">
        <v>27.27</v>
      </c>
      <c r="I328" s="7">
        <v>1.29</v>
      </c>
      <c r="J328" s="7"/>
      <c r="K328" s="7">
        <v>32605</v>
      </c>
      <c r="L328" s="7">
        <v>31132</v>
      </c>
      <c r="M328" s="7">
        <v>1473</v>
      </c>
    </row>
    <row r="329" ht="18" customHeight="1" spans="1:13">
      <c r="A329" s="6" t="s">
        <v>181</v>
      </c>
      <c r="B329" s="6" t="s">
        <v>772</v>
      </c>
      <c r="C329" s="6" t="s">
        <v>773</v>
      </c>
      <c r="D329" s="5" t="s">
        <v>200</v>
      </c>
      <c r="E329" s="7">
        <v>67.154</v>
      </c>
      <c r="F329" s="7"/>
      <c r="G329" s="7">
        <v>21.13</v>
      </c>
      <c r="H329" s="7">
        <v>20.09</v>
      </c>
      <c r="I329" s="7">
        <v>1.04</v>
      </c>
      <c r="J329" s="7"/>
      <c r="K329" s="7">
        <v>1419</v>
      </c>
      <c r="L329" s="7">
        <v>1349</v>
      </c>
      <c r="M329" s="7">
        <v>70</v>
      </c>
    </row>
    <row r="330" ht="18" customHeight="1" spans="1:13">
      <c r="A330" s="6" t="s">
        <v>181</v>
      </c>
      <c r="B330" s="6" t="s">
        <v>774</v>
      </c>
      <c r="C330" s="6" t="s">
        <v>775</v>
      </c>
      <c r="D330" s="5" t="s">
        <v>200</v>
      </c>
      <c r="E330" s="7">
        <v>134.308</v>
      </c>
      <c r="F330" s="7"/>
      <c r="G330" s="7">
        <v>125.69</v>
      </c>
      <c r="H330" s="7">
        <v>116.94</v>
      </c>
      <c r="I330" s="7">
        <v>5.16</v>
      </c>
      <c r="J330" s="7"/>
      <c r="K330" s="7">
        <v>16881</v>
      </c>
      <c r="L330" s="7">
        <v>15706</v>
      </c>
      <c r="M330" s="7">
        <v>693</v>
      </c>
    </row>
    <row r="331" ht="18" customHeight="1" spans="1:13">
      <c r="A331" s="6" t="s">
        <v>181</v>
      </c>
      <c r="B331" s="6" t="s">
        <v>181</v>
      </c>
      <c r="C331" s="6" t="s">
        <v>678</v>
      </c>
      <c r="D331" s="5" t="s">
        <v>660</v>
      </c>
      <c r="E331" s="7">
        <v>5.65</v>
      </c>
      <c r="F331" s="7"/>
      <c r="G331" s="7">
        <v>48187.02</v>
      </c>
      <c r="H331" s="7">
        <v>48187.02</v>
      </c>
      <c r="I331" s="7"/>
      <c r="J331" s="7"/>
      <c r="K331" s="7">
        <v>2723</v>
      </c>
      <c r="L331" s="7">
        <v>2723</v>
      </c>
      <c r="M331" s="7"/>
    </row>
    <row r="332" ht="18" customHeight="1" spans="1:13">
      <c r="A332" s="6" t="s">
        <v>181</v>
      </c>
      <c r="B332" s="6" t="s">
        <v>181</v>
      </c>
      <c r="C332" s="6" t="s">
        <v>562</v>
      </c>
      <c r="D332" s="5" t="s">
        <v>181</v>
      </c>
      <c r="E332" s="7"/>
      <c r="F332" s="7"/>
      <c r="G332" s="7"/>
      <c r="H332" s="7"/>
      <c r="I332" s="7"/>
      <c r="J332" s="7"/>
      <c r="K332" s="7">
        <v>53627</v>
      </c>
      <c r="L332" s="7">
        <v>50910</v>
      </c>
      <c r="M332" s="7">
        <v>2236</v>
      </c>
    </row>
    <row r="333" ht="18" customHeight="1" spans="1:13">
      <c r="A333" s="6" t="s">
        <v>181</v>
      </c>
      <c r="B333" s="6" t="s">
        <v>181</v>
      </c>
      <c r="C333" s="6" t="s">
        <v>181</v>
      </c>
      <c r="D333" s="5" t="s">
        <v>181</v>
      </c>
      <c r="E333" s="7"/>
      <c r="F333" s="7"/>
      <c r="G333" s="7"/>
      <c r="H333" s="7"/>
      <c r="I333" s="7"/>
      <c r="J333" s="7"/>
      <c r="K333" s="7"/>
      <c r="L333" s="7"/>
      <c r="M333" s="7"/>
    </row>
    <row r="334" ht="18" customHeight="1" spans="1:13">
      <c r="A334" s="6" t="s">
        <v>181</v>
      </c>
      <c r="B334" s="6" t="s">
        <v>354</v>
      </c>
      <c r="C334" s="6" t="s">
        <v>210</v>
      </c>
      <c r="D334" s="5" t="s">
        <v>181</v>
      </c>
      <c r="E334" s="7">
        <v>100</v>
      </c>
      <c r="F334" s="7"/>
      <c r="G334" s="7">
        <v>63900.1</v>
      </c>
      <c r="H334" s="7"/>
      <c r="I334" s="7"/>
      <c r="J334" s="7"/>
      <c r="K334" s="7">
        <v>63900</v>
      </c>
      <c r="L334" s="7"/>
      <c r="M334" s="7"/>
    </row>
    <row r="335" ht="18" customHeight="1" spans="1:13">
      <c r="A335" s="6" t="s">
        <v>181</v>
      </c>
      <c r="B335" s="6" t="s">
        <v>577</v>
      </c>
      <c r="C335" s="6" t="s">
        <v>578</v>
      </c>
      <c r="D335" s="5" t="s">
        <v>181</v>
      </c>
      <c r="E335" s="7">
        <v>100</v>
      </c>
      <c r="F335" s="7"/>
      <c r="G335" s="7">
        <v>53627.31</v>
      </c>
      <c r="H335" s="7"/>
      <c r="I335" s="7"/>
      <c r="J335" s="7"/>
      <c r="K335" s="7">
        <v>53627</v>
      </c>
      <c r="L335" s="7"/>
      <c r="M335" s="7"/>
    </row>
    <row r="336" ht="18" customHeight="1" spans="1:13">
      <c r="A336" s="6" t="s">
        <v>181</v>
      </c>
      <c r="B336" s="6" t="s">
        <v>579</v>
      </c>
      <c r="C336" s="6" t="s">
        <v>580</v>
      </c>
      <c r="D336" s="5" t="s">
        <v>181</v>
      </c>
      <c r="E336" s="7">
        <v>100</v>
      </c>
      <c r="F336" s="7"/>
      <c r="G336" s="7">
        <v>53627.31</v>
      </c>
      <c r="H336" s="7"/>
      <c r="I336" s="7"/>
      <c r="J336" s="7"/>
      <c r="K336" s="7">
        <v>53627</v>
      </c>
      <c r="L336" s="7"/>
      <c r="M336" s="7"/>
    </row>
    <row r="337" ht="18" customHeight="1" spans="1:13">
      <c r="A337" s="6" t="s">
        <v>181</v>
      </c>
      <c r="B337" s="6" t="s">
        <v>581</v>
      </c>
      <c r="C337" s="6" t="s">
        <v>582</v>
      </c>
      <c r="D337" s="5" t="s">
        <v>181</v>
      </c>
      <c r="E337" s="7">
        <v>100</v>
      </c>
      <c r="F337" s="7"/>
      <c r="G337" s="7">
        <v>50909.59</v>
      </c>
      <c r="H337" s="7"/>
      <c r="I337" s="7"/>
      <c r="J337" s="7"/>
      <c r="K337" s="7">
        <v>50910</v>
      </c>
      <c r="L337" s="7"/>
      <c r="M337" s="7"/>
    </row>
    <row r="338" ht="18" customHeight="1" spans="1:13">
      <c r="A338" s="6" t="s">
        <v>181</v>
      </c>
      <c r="B338" s="6" t="s">
        <v>583</v>
      </c>
      <c r="C338" s="6" t="s">
        <v>584</v>
      </c>
      <c r="D338" s="5" t="s">
        <v>181</v>
      </c>
      <c r="E338" s="7">
        <v>100</v>
      </c>
      <c r="F338" s="7"/>
      <c r="G338" s="7">
        <v>482.17</v>
      </c>
      <c r="H338" s="7"/>
      <c r="I338" s="7"/>
      <c r="J338" s="7"/>
      <c r="K338" s="7">
        <v>482</v>
      </c>
      <c r="L338" s="7"/>
      <c r="M338" s="7"/>
    </row>
    <row r="339" ht="18" customHeight="1" spans="1:13">
      <c r="A339" s="6" t="s">
        <v>181</v>
      </c>
      <c r="B339" s="6" t="s">
        <v>585</v>
      </c>
      <c r="C339" s="6" t="s">
        <v>586</v>
      </c>
      <c r="D339" s="5" t="s">
        <v>181</v>
      </c>
      <c r="E339" s="7">
        <v>100</v>
      </c>
      <c r="F339" s="7"/>
      <c r="G339" s="7">
        <v>2235.56</v>
      </c>
      <c r="H339" s="7"/>
      <c r="I339" s="7"/>
      <c r="J339" s="7"/>
      <c r="K339" s="7">
        <v>2236</v>
      </c>
      <c r="L339" s="7"/>
      <c r="M339" s="7"/>
    </row>
    <row r="340" ht="18" customHeight="1" spans="1:13">
      <c r="A340" s="6" t="s">
        <v>181</v>
      </c>
      <c r="B340" s="6" t="s">
        <v>593</v>
      </c>
      <c r="C340" s="6" t="s">
        <v>258</v>
      </c>
      <c r="D340" s="5" t="s">
        <v>181</v>
      </c>
      <c r="E340" s="7">
        <v>100</v>
      </c>
      <c r="F340" s="7"/>
      <c r="G340" s="7">
        <v>10272.79</v>
      </c>
      <c r="H340" s="7"/>
      <c r="I340" s="7"/>
      <c r="J340" s="7"/>
      <c r="K340" s="7">
        <v>10273</v>
      </c>
      <c r="L340" s="7"/>
      <c r="M340" s="7"/>
    </row>
    <row r="341" ht="18" customHeight="1" spans="1:13">
      <c r="A341" s="6" t="s">
        <v>181</v>
      </c>
      <c r="B341" s="6" t="s">
        <v>594</v>
      </c>
      <c r="C341" s="6" t="s">
        <v>595</v>
      </c>
      <c r="D341" s="5" t="s">
        <v>181</v>
      </c>
      <c r="E341" s="7">
        <v>3.57</v>
      </c>
      <c r="F341" s="7"/>
      <c r="G341" s="7">
        <v>50909.59</v>
      </c>
      <c r="H341" s="7"/>
      <c r="I341" s="7"/>
      <c r="J341" s="7"/>
      <c r="K341" s="7">
        <v>1817</v>
      </c>
      <c r="L341" s="7"/>
      <c r="M341" s="7"/>
    </row>
    <row r="342" ht="18" customHeight="1" spans="1:13">
      <c r="A342" s="6" t="s">
        <v>181</v>
      </c>
      <c r="B342" s="6" t="s">
        <v>598</v>
      </c>
      <c r="C342" s="6" t="s">
        <v>599</v>
      </c>
      <c r="D342" s="5" t="s">
        <v>181</v>
      </c>
      <c r="E342" s="7">
        <v>3.82</v>
      </c>
      <c r="F342" s="7"/>
      <c r="G342" s="7">
        <v>50909.59</v>
      </c>
      <c r="H342" s="7"/>
      <c r="I342" s="7"/>
      <c r="J342" s="7"/>
      <c r="K342" s="7">
        <v>1945</v>
      </c>
      <c r="L342" s="7"/>
      <c r="M342" s="7"/>
    </row>
    <row r="343" ht="18" customHeight="1" spans="1:13">
      <c r="A343" s="6" t="s">
        <v>181</v>
      </c>
      <c r="B343" s="6" t="s">
        <v>602</v>
      </c>
      <c r="C343" s="6" t="s">
        <v>76</v>
      </c>
      <c r="D343" s="5" t="s">
        <v>181</v>
      </c>
      <c r="E343" s="7">
        <v>6.35</v>
      </c>
      <c r="F343" s="7"/>
      <c r="G343" s="7">
        <v>53627.31</v>
      </c>
      <c r="H343" s="7"/>
      <c r="I343" s="7"/>
      <c r="J343" s="7"/>
      <c r="K343" s="7">
        <v>3405</v>
      </c>
      <c r="L343" s="7"/>
      <c r="M343" s="7"/>
    </row>
    <row r="344" ht="30.6" customHeight="1" spans="1:13">
      <c r="A344" s="6" t="s">
        <v>181</v>
      </c>
      <c r="B344" s="6" t="s">
        <v>603</v>
      </c>
      <c r="C344" s="6" t="s">
        <v>604</v>
      </c>
      <c r="D344" s="5" t="s">
        <v>181</v>
      </c>
      <c r="E344" s="7">
        <v>2.36</v>
      </c>
      <c r="F344" s="7"/>
      <c r="G344" s="7">
        <v>50909.59</v>
      </c>
      <c r="H344" s="7"/>
      <c r="I344" s="7"/>
      <c r="J344" s="7"/>
      <c r="K344" s="7">
        <v>1201</v>
      </c>
      <c r="L344" s="7"/>
      <c r="M344" s="7"/>
    </row>
    <row r="345" ht="30.6" customHeight="1" spans="1:13">
      <c r="A345" s="6" t="s">
        <v>181</v>
      </c>
      <c r="B345" s="6" t="s">
        <v>605</v>
      </c>
      <c r="C345" s="6" t="s">
        <v>213</v>
      </c>
      <c r="D345" s="5" t="s">
        <v>181</v>
      </c>
      <c r="E345" s="7">
        <v>3.55</v>
      </c>
      <c r="F345" s="7"/>
      <c r="G345" s="7">
        <v>53627.31</v>
      </c>
      <c r="H345" s="7"/>
      <c r="I345" s="7"/>
      <c r="J345" s="7"/>
      <c r="K345" s="7">
        <v>1904</v>
      </c>
      <c r="L345" s="7"/>
      <c r="M345" s="7"/>
    </row>
    <row r="346" ht="30.6" customHeight="1" spans="1:13">
      <c r="A346" s="6" t="s">
        <v>181</v>
      </c>
      <c r="B346" s="6" t="s">
        <v>606</v>
      </c>
      <c r="C346" s="6" t="s">
        <v>607</v>
      </c>
      <c r="D346" s="5" t="s">
        <v>181</v>
      </c>
      <c r="E346" s="7">
        <v>100</v>
      </c>
      <c r="F346" s="7"/>
      <c r="G346" s="7">
        <v>37750.27</v>
      </c>
      <c r="H346" s="7"/>
      <c r="I346" s="7"/>
      <c r="J346" s="7"/>
      <c r="K346" s="7">
        <v>37750</v>
      </c>
      <c r="L346" s="7"/>
      <c r="M346" s="7"/>
    </row>
    <row r="347" ht="30.6" customHeight="1" spans="1:13">
      <c r="A347" s="6" t="s">
        <v>181</v>
      </c>
      <c r="B347" s="6" t="s">
        <v>577</v>
      </c>
      <c r="C347" s="6" t="s">
        <v>608</v>
      </c>
      <c r="D347" s="5" t="s">
        <v>181</v>
      </c>
      <c r="E347" s="7">
        <v>100</v>
      </c>
      <c r="F347" s="7"/>
      <c r="G347" s="7">
        <v>18976.55</v>
      </c>
      <c r="H347" s="7"/>
      <c r="I347" s="7"/>
      <c r="J347" s="7"/>
      <c r="K347" s="7">
        <v>18977</v>
      </c>
      <c r="L347" s="7"/>
      <c r="M347" s="7"/>
    </row>
    <row r="348" ht="30.6" customHeight="1" spans="1:13">
      <c r="A348" s="6" t="s">
        <v>181</v>
      </c>
      <c r="B348" s="6" t="s">
        <v>579</v>
      </c>
      <c r="C348" s="6" t="s">
        <v>609</v>
      </c>
      <c r="D348" s="5" t="s">
        <v>181</v>
      </c>
      <c r="E348" s="7">
        <v>23.5</v>
      </c>
      <c r="F348" s="7"/>
      <c r="G348" s="7">
        <v>53455.07</v>
      </c>
      <c r="H348" s="7"/>
      <c r="I348" s="7"/>
      <c r="J348" s="7"/>
      <c r="K348" s="7">
        <v>12562</v>
      </c>
      <c r="L348" s="7"/>
      <c r="M348" s="7"/>
    </row>
    <row r="349" ht="30.6" customHeight="1" spans="1:13">
      <c r="A349" s="6" t="s">
        <v>181</v>
      </c>
      <c r="B349" s="6" t="s">
        <v>587</v>
      </c>
      <c r="C349" s="6" t="s">
        <v>610</v>
      </c>
      <c r="D349" s="5" t="s">
        <v>181</v>
      </c>
      <c r="E349" s="7">
        <v>12</v>
      </c>
      <c r="F349" s="7"/>
      <c r="G349" s="7">
        <v>53455.07</v>
      </c>
      <c r="H349" s="7"/>
      <c r="I349" s="7"/>
      <c r="J349" s="7"/>
      <c r="K349" s="7">
        <v>6415</v>
      </c>
      <c r="L349" s="7"/>
      <c r="M349" s="7"/>
    </row>
    <row r="350" ht="18" customHeight="1" spans="1:13">
      <c r="A350" s="6" t="s">
        <v>181</v>
      </c>
      <c r="B350" s="6" t="s">
        <v>593</v>
      </c>
      <c r="C350" s="6" t="s">
        <v>611</v>
      </c>
      <c r="D350" s="5" t="s">
        <v>181</v>
      </c>
      <c r="E350" s="7">
        <v>35.76</v>
      </c>
      <c r="F350" s="7"/>
      <c r="G350" s="7">
        <v>50909.59</v>
      </c>
      <c r="H350" s="7"/>
      <c r="I350" s="7"/>
      <c r="J350" s="7"/>
      <c r="K350" s="7">
        <v>18205</v>
      </c>
      <c r="L350" s="7"/>
      <c r="M350" s="7"/>
    </row>
    <row r="351" ht="18" customHeight="1" spans="1:13">
      <c r="A351" s="6" t="s">
        <v>181</v>
      </c>
      <c r="B351" s="6" t="s">
        <v>612</v>
      </c>
      <c r="C351" s="6" t="s">
        <v>613</v>
      </c>
      <c r="D351" s="5" t="s">
        <v>181</v>
      </c>
      <c r="E351" s="7">
        <v>1.06</v>
      </c>
      <c r="F351" s="7"/>
      <c r="G351" s="7">
        <v>53627.31</v>
      </c>
      <c r="H351" s="7"/>
      <c r="I351" s="7"/>
      <c r="J351" s="7"/>
      <c r="K351" s="7">
        <v>568</v>
      </c>
      <c r="L351" s="7"/>
      <c r="M351" s="7"/>
    </row>
    <row r="352" ht="18" customHeight="1" spans="1:13">
      <c r="A352" s="6" t="s">
        <v>181</v>
      </c>
      <c r="B352" s="6" t="s">
        <v>614</v>
      </c>
      <c r="C352" s="6" t="s">
        <v>615</v>
      </c>
      <c r="D352" s="5" t="s">
        <v>181</v>
      </c>
      <c r="E352" s="7">
        <v>5</v>
      </c>
      <c r="F352" s="7"/>
      <c r="G352" s="7">
        <v>101650.37</v>
      </c>
      <c r="H352" s="7"/>
      <c r="I352" s="7"/>
      <c r="J352" s="7"/>
      <c r="K352" s="7">
        <v>5083</v>
      </c>
      <c r="L352" s="7"/>
      <c r="M352" s="7"/>
    </row>
    <row r="353" ht="18" customHeight="1" spans="1:13">
      <c r="A353" s="6" t="s">
        <v>181</v>
      </c>
      <c r="B353" s="6" t="s">
        <v>616</v>
      </c>
      <c r="C353" s="6" t="s">
        <v>617</v>
      </c>
      <c r="D353" s="5" t="s">
        <v>181</v>
      </c>
      <c r="E353" s="7">
        <v>100</v>
      </c>
      <c r="F353" s="7"/>
      <c r="G353" s="7">
        <v>5560.75</v>
      </c>
      <c r="H353" s="7"/>
      <c r="I353" s="7"/>
      <c r="J353" s="7"/>
      <c r="K353" s="7">
        <v>5561</v>
      </c>
      <c r="L353" s="7"/>
      <c r="M353" s="7"/>
    </row>
    <row r="354" ht="18" customHeight="1" spans="1:13">
      <c r="A354" s="6" t="s">
        <v>181</v>
      </c>
      <c r="B354" s="6" t="s">
        <v>577</v>
      </c>
      <c r="C354" s="6" t="s">
        <v>618</v>
      </c>
      <c r="D354" s="5" t="s">
        <v>181</v>
      </c>
      <c r="E354" s="7">
        <v>100</v>
      </c>
      <c r="F354" s="7"/>
      <c r="G354" s="7">
        <v>5421.87</v>
      </c>
      <c r="H354" s="7"/>
      <c r="I354" s="7"/>
      <c r="J354" s="7"/>
      <c r="K354" s="7">
        <v>5422</v>
      </c>
      <c r="L354" s="7"/>
      <c r="M354" s="7"/>
    </row>
    <row r="355" ht="18" customHeight="1" spans="1:13">
      <c r="A355" s="6" t="s">
        <v>181</v>
      </c>
      <c r="B355" s="6" t="s">
        <v>593</v>
      </c>
      <c r="C355" s="6" t="s">
        <v>619</v>
      </c>
      <c r="D355" s="5" t="s">
        <v>181</v>
      </c>
      <c r="E355" s="7">
        <v>100</v>
      </c>
      <c r="F355" s="7"/>
      <c r="G355" s="7">
        <v>24.64</v>
      </c>
      <c r="H355" s="7"/>
      <c r="I355" s="7"/>
      <c r="J355" s="7"/>
      <c r="K355" s="7">
        <v>25</v>
      </c>
      <c r="L355" s="7"/>
      <c r="M355" s="7"/>
    </row>
    <row r="356" ht="18" customHeight="1" spans="1:13">
      <c r="A356" s="6" t="s">
        <v>181</v>
      </c>
      <c r="B356" s="6" t="s">
        <v>612</v>
      </c>
      <c r="C356" s="6" t="s">
        <v>620</v>
      </c>
      <c r="D356" s="5" t="s">
        <v>181</v>
      </c>
      <c r="E356" s="7">
        <v>100</v>
      </c>
      <c r="F356" s="7"/>
      <c r="G356" s="7">
        <v>114.24</v>
      </c>
      <c r="H356" s="7"/>
      <c r="I356" s="7"/>
      <c r="J356" s="7"/>
      <c r="K356" s="7">
        <v>114</v>
      </c>
      <c r="L356" s="7"/>
      <c r="M356" s="7"/>
    </row>
    <row r="357" ht="18" customHeight="1" spans="1:13">
      <c r="A357" s="6" t="s">
        <v>181</v>
      </c>
      <c r="B357" s="6" t="s">
        <v>627</v>
      </c>
      <c r="C357" s="6" t="s">
        <v>216</v>
      </c>
      <c r="D357" s="5" t="s">
        <v>181</v>
      </c>
      <c r="E357" s="7">
        <v>9</v>
      </c>
      <c r="F357" s="7"/>
      <c r="G357" s="7">
        <v>112293.64</v>
      </c>
      <c r="H357" s="7"/>
      <c r="I357" s="7"/>
      <c r="J357" s="7"/>
      <c r="K357" s="7">
        <v>10106</v>
      </c>
      <c r="L357" s="7"/>
      <c r="M357" s="7"/>
    </row>
    <row r="358" ht="18" customHeight="1" spans="1:13">
      <c r="A358" s="6" t="s">
        <v>181</v>
      </c>
      <c r="B358" s="6" t="s">
        <v>662</v>
      </c>
      <c r="C358" s="6" t="s">
        <v>640</v>
      </c>
      <c r="D358" s="5" t="s">
        <v>181</v>
      </c>
      <c r="E358" s="7">
        <v>100</v>
      </c>
      <c r="F358" s="7"/>
      <c r="G358" s="7">
        <v>122400.07</v>
      </c>
      <c r="H358" s="7"/>
      <c r="I358" s="7"/>
      <c r="J358" s="7"/>
      <c r="K358" s="7">
        <v>122400</v>
      </c>
      <c r="L358" s="7"/>
      <c r="M358" s="7"/>
    </row>
    <row r="359" ht="18" customHeight="1" spans="1:13">
      <c r="A359" s="6" t="s">
        <v>181</v>
      </c>
      <c r="B359" s="6" t="s">
        <v>631</v>
      </c>
      <c r="C359" s="6" t="s">
        <v>100</v>
      </c>
      <c r="D359" s="5" t="s">
        <v>181</v>
      </c>
      <c r="E359" s="7">
        <v>100</v>
      </c>
      <c r="F359" s="7"/>
      <c r="G359" s="7">
        <v>122400.07</v>
      </c>
      <c r="H359" s="7"/>
      <c r="I359" s="7"/>
      <c r="J359" s="7"/>
      <c r="K359" s="7">
        <v>122400</v>
      </c>
      <c r="L359" s="7"/>
      <c r="M359" s="7"/>
    </row>
    <row r="360" ht="18" customHeight="1" spans="1:13">
      <c r="A360" s="6" t="s">
        <v>181</v>
      </c>
      <c r="B360" s="6" t="s">
        <v>663</v>
      </c>
      <c r="C360" s="6" t="s">
        <v>173</v>
      </c>
      <c r="D360" s="5" t="s">
        <v>181</v>
      </c>
      <c r="E360" s="7">
        <v>100</v>
      </c>
      <c r="F360" s="7"/>
      <c r="G360" s="7">
        <v>122400.07</v>
      </c>
      <c r="H360" s="7"/>
      <c r="I360" s="7"/>
      <c r="J360" s="7"/>
      <c r="K360" s="7">
        <v>122400</v>
      </c>
      <c r="L360" s="7"/>
      <c r="M360" s="7"/>
    </row>
    <row r="361" ht="18" customHeight="1" spans="1:13">
      <c r="A361" s="6" t="s">
        <v>181</v>
      </c>
      <c r="B361" s="6" t="s">
        <v>181</v>
      </c>
      <c r="C361" s="6" t="s">
        <v>181</v>
      </c>
      <c r="D361" s="5" t="s">
        <v>181</v>
      </c>
      <c r="E361" s="7"/>
      <c r="F361" s="7"/>
      <c r="G361" s="7"/>
      <c r="H361" s="7"/>
      <c r="I361" s="7"/>
      <c r="J361" s="7"/>
      <c r="K361" s="7"/>
      <c r="L361" s="7"/>
      <c r="M361" s="7"/>
    </row>
    <row r="362" ht="18" customHeight="1" spans="1:13">
      <c r="A362" s="6" t="s">
        <v>776</v>
      </c>
      <c r="B362" s="6" t="s">
        <v>181</v>
      </c>
      <c r="C362" s="6" t="s">
        <v>777</v>
      </c>
      <c r="D362" s="5" t="s">
        <v>181</v>
      </c>
      <c r="E362" s="7"/>
      <c r="F362" s="7"/>
      <c r="G362" s="7"/>
      <c r="H362" s="7"/>
      <c r="I362" s="7"/>
      <c r="J362" s="7">
        <v>856188</v>
      </c>
      <c r="K362" s="7">
        <v>2405897</v>
      </c>
      <c r="L362" s="7">
        <v>514270</v>
      </c>
      <c r="M362" s="7">
        <v>136356</v>
      </c>
    </row>
    <row r="363" ht="18" customHeight="1" spans="1:13">
      <c r="A363" s="6" t="s">
        <v>181</v>
      </c>
      <c r="B363" s="6" t="s">
        <v>181</v>
      </c>
      <c r="C363" s="6" t="s">
        <v>778</v>
      </c>
      <c r="D363" s="5" t="s">
        <v>181</v>
      </c>
      <c r="E363" s="7"/>
      <c r="F363" s="7"/>
      <c r="G363" s="7"/>
      <c r="H363" s="7"/>
      <c r="I363" s="7"/>
      <c r="J363" s="7"/>
      <c r="K363" s="7"/>
      <c r="L363" s="7"/>
      <c r="M363" s="7"/>
    </row>
    <row r="364" ht="18" customHeight="1" spans="1:13">
      <c r="A364" s="6" t="s">
        <v>181</v>
      </c>
      <c r="B364" s="6" t="s">
        <v>779</v>
      </c>
      <c r="C364" s="6" t="s">
        <v>780</v>
      </c>
      <c r="D364" s="5" t="s">
        <v>182</v>
      </c>
      <c r="E364" s="7">
        <v>8.144</v>
      </c>
      <c r="F364" s="7"/>
      <c r="G364" s="7">
        <v>271.75</v>
      </c>
      <c r="H364" s="7">
        <v>166.28</v>
      </c>
      <c r="I364" s="7">
        <v>99.7</v>
      </c>
      <c r="J364" s="7"/>
      <c r="K364" s="7">
        <v>2213</v>
      </c>
      <c r="L364" s="7">
        <v>1354</v>
      </c>
      <c r="M364" s="7">
        <v>812</v>
      </c>
    </row>
    <row r="365" ht="18" customHeight="1" spans="1:13">
      <c r="A365" s="6" t="s">
        <v>181</v>
      </c>
      <c r="B365" s="6" t="s">
        <v>181</v>
      </c>
      <c r="C365" s="6" t="s">
        <v>781</v>
      </c>
      <c r="D365" s="5" t="s">
        <v>181</v>
      </c>
      <c r="E365" s="7"/>
      <c r="F365" s="7"/>
      <c r="G365" s="7"/>
      <c r="H365" s="7"/>
      <c r="I365" s="7"/>
      <c r="J365" s="7"/>
      <c r="K365" s="7"/>
      <c r="L365" s="7"/>
      <c r="M365" s="7"/>
    </row>
    <row r="366" ht="18" customHeight="1" spans="1:13">
      <c r="A366" s="6" t="s">
        <v>181</v>
      </c>
      <c r="B366" s="6" t="s">
        <v>782</v>
      </c>
      <c r="C366" s="6" t="s">
        <v>783</v>
      </c>
      <c r="D366" s="5" t="s">
        <v>257</v>
      </c>
      <c r="E366" s="7">
        <v>8214</v>
      </c>
      <c r="F366" s="7"/>
      <c r="G366" s="7">
        <v>0.43</v>
      </c>
      <c r="H366" s="7">
        <v>0.37</v>
      </c>
      <c r="I366" s="7">
        <v>0.03</v>
      </c>
      <c r="J366" s="7"/>
      <c r="K366" s="7">
        <v>3532</v>
      </c>
      <c r="L366" s="7">
        <v>3039</v>
      </c>
      <c r="M366" s="7">
        <v>246</v>
      </c>
    </row>
    <row r="367" ht="18" customHeight="1" spans="1:13">
      <c r="A367" s="6" t="s">
        <v>181</v>
      </c>
      <c r="B367" s="6" t="s">
        <v>181</v>
      </c>
      <c r="C367" s="6" t="s">
        <v>784</v>
      </c>
      <c r="D367" s="5" t="s">
        <v>181</v>
      </c>
      <c r="E367" s="7"/>
      <c r="F367" s="7"/>
      <c r="G367" s="7"/>
      <c r="H367" s="7"/>
      <c r="I367" s="7"/>
      <c r="J367" s="7"/>
      <c r="K367" s="7"/>
      <c r="L367" s="7"/>
      <c r="M367" s="7"/>
    </row>
    <row r="368" ht="18" customHeight="1" spans="1:13">
      <c r="A368" s="6" t="s">
        <v>181</v>
      </c>
      <c r="B368" s="6" t="s">
        <v>785</v>
      </c>
      <c r="C368" s="6" t="s">
        <v>786</v>
      </c>
      <c r="D368" s="5" t="s">
        <v>787</v>
      </c>
      <c r="E368" s="7">
        <v>3132</v>
      </c>
      <c r="F368" s="7"/>
      <c r="G368" s="7">
        <v>178.13</v>
      </c>
      <c r="H368" s="7">
        <v>139.55</v>
      </c>
      <c r="I368" s="7">
        <v>36.91</v>
      </c>
      <c r="J368" s="7"/>
      <c r="K368" s="7">
        <v>557903</v>
      </c>
      <c r="L368" s="7">
        <v>437071</v>
      </c>
      <c r="M368" s="7">
        <v>115602</v>
      </c>
    </row>
    <row r="369" ht="18" customHeight="1" spans="1:13">
      <c r="A369" s="6" t="s">
        <v>181</v>
      </c>
      <c r="B369" s="6" t="s">
        <v>181</v>
      </c>
      <c r="C369" s="6" t="s">
        <v>788</v>
      </c>
      <c r="D369" s="5" t="s">
        <v>181</v>
      </c>
      <c r="E369" s="7"/>
      <c r="F369" s="7"/>
      <c r="G369" s="7"/>
      <c r="H369" s="7"/>
      <c r="I369" s="7"/>
      <c r="J369" s="7"/>
      <c r="K369" s="7"/>
      <c r="L369" s="7"/>
      <c r="M369" s="7"/>
    </row>
    <row r="370" ht="18" customHeight="1" spans="1:13">
      <c r="A370" s="6" t="s">
        <v>181</v>
      </c>
      <c r="B370" s="6" t="s">
        <v>789</v>
      </c>
      <c r="C370" s="6" t="s">
        <v>790</v>
      </c>
      <c r="D370" s="5" t="s">
        <v>360</v>
      </c>
      <c r="E370" s="7">
        <v>61</v>
      </c>
      <c r="F370" s="7"/>
      <c r="G370" s="7">
        <v>37.33</v>
      </c>
      <c r="H370" s="7">
        <v>24.43</v>
      </c>
      <c r="I370" s="7">
        <v>12.9</v>
      </c>
      <c r="J370" s="7"/>
      <c r="K370" s="7">
        <v>2277</v>
      </c>
      <c r="L370" s="7">
        <v>1490</v>
      </c>
      <c r="M370" s="7">
        <v>787</v>
      </c>
    </row>
    <row r="371" ht="18" customHeight="1" spans="1:13">
      <c r="A371" s="6" t="s">
        <v>181</v>
      </c>
      <c r="B371" s="6" t="s">
        <v>181</v>
      </c>
      <c r="C371" s="6" t="s">
        <v>701</v>
      </c>
      <c r="D371" s="5" t="s">
        <v>660</v>
      </c>
      <c r="E371" s="7">
        <v>16.1</v>
      </c>
      <c r="F371" s="7"/>
      <c r="G371" s="7">
        <v>560401.59</v>
      </c>
      <c r="H371" s="7">
        <v>442954.19</v>
      </c>
      <c r="I371" s="7">
        <v>117447.4</v>
      </c>
      <c r="J371" s="7"/>
      <c r="K371" s="7">
        <v>90225</v>
      </c>
      <c r="L371" s="7">
        <v>71316</v>
      </c>
      <c r="M371" s="7">
        <v>18909</v>
      </c>
    </row>
    <row r="372" ht="18" customHeight="1" spans="1:13">
      <c r="A372" s="6" t="s">
        <v>181</v>
      </c>
      <c r="B372" s="6" t="s">
        <v>181</v>
      </c>
      <c r="C372" s="6" t="s">
        <v>702</v>
      </c>
      <c r="D372" s="5" t="s">
        <v>181</v>
      </c>
      <c r="E372" s="7"/>
      <c r="F372" s="7"/>
      <c r="G372" s="7"/>
      <c r="H372" s="7"/>
      <c r="I372" s="7"/>
      <c r="J372" s="7">
        <v>1731</v>
      </c>
      <c r="K372" s="7"/>
      <c r="L372" s="7"/>
      <c r="M372" s="7"/>
    </row>
    <row r="373" ht="18" customHeight="1" spans="1:13">
      <c r="A373" s="6" t="s">
        <v>181</v>
      </c>
      <c r="B373" s="6" t="s">
        <v>181</v>
      </c>
      <c r="C373" s="6" t="s">
        <v>703</v>
      </c>
      <c r="D373" s="5" t="s">
        <v>181</v>
      </c>
      <c r="E373" s="7"/>
      <c r="F373" s="7"/>
      <c r="G373" s="7"/>
      <c r="H373" s="7"/>
      <c r="I373" s="7"/>
      <c r="J373" s="7">
        <v>856188</v>
      </c>
      <c r="K373" s="7"/>
      <c r="L373" s="7"/>
      <c r="M373" s="7"/>
    </row>
    <row r="374" ht="18" customHeight="1" spans="1:13">
      <c r="A374" s="6" t="s">
        <v>181</v>
      </c>
      <c r="B374" s="6" t="s">
        <v>181</v>
      </c>
      <c r="C374" s="6" t="s">
        <v>562</v>
      </c>
      <c r="D374" s="5" t="s">
        <v>181</v>
      </c>
      <c r="E374" s="7"/>
      <c r="F374" s="7"/>
      <c r="G374" s="7"/>
      <c r="H374" s="7"/>
      <c r="I374" s="7"/>
      <c r="J374" s="7">
        <v>856188</v>
      </c>
      <c r="K374" s="7">
        <v>656150</v>
      </c>
      <c r="L374" s="7">
        <v>514270</v>
      </c>
      <c r="M374" s="7">
        <v>136356</v>
      </c>
    </row>
    <row r="375" ht="18" customHeight="1" spans="1:13">
      <c r="A375" s="6" t="s">
        <v>181</v>
      </c>
      <c r="B375" s="6" t="s">
        <v>181</v>
      </c>
      <c r="C375" s="6" t="s">
        <v>181</v>
      </c>
      <c r="D375" s="5" t="s">
        <v>181</v>
      </c>
      <c r="E375" s="7"/>
      <c r="F375" s="7"/>
      <c r="G375" s="7"/>
      <c r="H375" s="7"/>
      <c r="I375" s="7"/>
      <c r="J375" s="7"/>
      <c r="K375" s="7"/>
      <c r="L375" s="7"/>
      <c r="M375" s="7"/>
    </row>
    <row r="376" ht="18" customHeight="1" spans="1:13">
      <c r="A376" s="6" t="s">
        <v>181</v>
      </c>
      <c r="B376" s="6" t="s">
        <v>354</v>
      </c>
      <c r="C376" s="6" t="s">
        <v>210</v>
      </c>
      <c r="D376" s="5" t="s">
        <v>181</v>
      </c>
      <c r="E376" s="7">
        <v>100</v>
      </c>
      <c r="F376" s="7"/>
      <c r="G376" s="7">
        <v>1657833.28</v>
      </c>
      <c r="H376" s="7"/>
      <c r="I376" s="7"/>
      <c r="J376" s="7"/>
      <c r="K376" s="7">
        <v>1657833</v>
      </c>
      <c r="L376" s="7"/>
      <c r="M376" s="7"/>
    </row>
    <row r="377" ht="18" customHeight="1" spans="1:13">
      <c r="A377" s="6" t="s">
        <v>181</v>
      </c>
      <c r="B377" s="6" t="s">
        <v>577</v>
      </c>
      <c r="C377" s="6" t="s">
        <v>578</v>
      </c>
      <c r="D377" s="5" t="s">
        <v>181</v>
      </c>
      <c r="E377" s="7">
        <v>100</v>
      </c>
      <c r="F377" s="7"/>
      <c r="G377" s="7">
        <v>1512338.42</v>
      </c>
      <c r="H377" s="7"/>
      <c r="I377" s="7"/>
      <c r="J377" s="7"/>
      <c r="K377" s="7">
        <v>1512338</v>
      </c>
      <c r="L377" s="7"/>
      <c r="M377" s="7"/>
    </row>
    <row r="378" ht="18" customHeight="1" spans="1:13">
      <c r="A378" s="6" t="s">
        <v>181</v>
      </c>
      <c r="B378" s="6" t="s">
        <v>579</v>
      </c>
      <c r="C378" s="6" t="s">
        <v>580</v>
      </c>
      <c r="D378" s="5" t="s">
        <v>181</v>
      </c>
      <c r="E378" s="7">
        <v>100</v>
      </c>
      <c r="F378" s="7"/>
      <c r="G378" s="7">
        <v>656150.1</v>
      </c>
      <c r="H378" s="7"/>
      <c r="I378" s="7"/>
      <c r="J378" s="7"/>
      <c r="K378" s="7">
        <v>656150</v>
      </c>
      <c r="L378" s="7"/>
      <c r="M378" s="7"/>
    </row>
    <row r="379" ht="18" customHeight="1" spans="1:13">
      <c r="A379" s="6" t="s">
        <v>181</v>
      </c>
      <c r="B379" s="6" t="s">
        <v>581</v>
      </c>
      <c r="C379" s="6" t="s">
        <v>582</v>
      </c>
      <c r="D379" s="5" t="s">
        <v>181</v>
      </c>
      <c r="E379" s="7">
        <v>100</v>
      </c>
      <c r="F379" s="7"/>
      <c r="G379" s="7">
        <v>514269.82</v>
      </c>
      <c r="H379" s="7"/>
      <c r="I379" s="7"/>
      <c r="J379" s="7"/>
      <c r="K379" s="7">
        <v>514270</v>
      </c>
      <c r="L379" s="7"/>
      <c r="M379" s="7"/>
    </row>
    <row r="380" ht="18" customHeight="1" spans="1:13">
      <c r="A380" s="6" t="s">
        <v>181</v>
      </c>
      <c r="B380" s="6" t="s">
        <v>583</v>
      </c>
      <c r="C380" s="6" t="s">
        <v>584</v>
      </c>
      <c r="D380" s="5" t="s">
        <v>181</v>
      </c>
      <c r="E380" s="7">
        <v>100</v>
      </c>
      <c r="F380" s="7"/>
      <c r="G380" s="7">
        <v>5523.85</v>
      </c>
      <c r="H380" s="7"/>
      <c r="I380" s="7"/>
      <c r="J380" s="7"/>
      <c r="K380" s="7">
        <v>5524</v>
      </c>
      <c r="L380" s="7"/>
      <c r="M380" s="7"/>
    </row>
    <row r="381" ht="18" customHeight="1" spans="1:13">
      <c r="A381" s="6" t="s">
        <v>181</v>
      </c>
      <c r="B381" s="6" t="s">
        <v>585</v>
      </c>
      <c r="C381" s="6" t="s">
        <v>586</v>
      </c>
      <c r="D381" s="5" t="s">
        <v>181</v>
      </c>
      <c r="E381" s="7">
        <v>100</v>
      </c>
      <c r="F381" s="7"/>
      <c r="G381" s="7">
        <v>136356.43</v>
      </c>
      <c r="H381" s="7"/>
      <c r="I381" s="7"/>
      <c r="J381" s="7"/>
      <c r="K381" s="7">
        <v>136356</v>
      </c>
      <c r="L381" s="7"/>
      <c r="M381" s="7"/>
    </row>
    <row r="382" ht="30.6" customHeight="1" spans="1:13">
      <c r="A382" s="6" t="s">
        <v>181</v>
      </c>
      <c r="B382" s="6" t="s">
        <v>587</v>
      </c>
      <c r="C382" s="6" t="s">
        <v>588</v>
      </c>
      <c r="D382" s="5" t="s">
        <v>181</v>
      </c>
      <c r="E382" s="7">
        <v>100</v>
      </c>
      <c r="F382" s="7"/>
      <c r="G382" s="7">
        <v>856188.33</v>
      </c>
      <c r="H382" s="7"/>
      <c r="I382" s="7"/>
      <c r="J382" s="7"/>
      <c r="K382" s="7">
        <v>856188</v>
      </c>
      <c r="L382" s="7"/>
      <c r="M382" s="7"/>
    </row>
    <row r="383" ht="30.6" customHeight="1" spans="1:13">
      <c r="A383" s="6" t="s">
        <v>181</v>
      </c>
      <c r="B383" s="6" t="s">
        <v>591</v>
      </c>
      <c r="C383" s="6" t="s">
        <v>592</v>
      </c>
      <c r="D383" s="5" t="s">
        <v>181</v>
      </c>
      <c r="E383" s="7">
        <v>100</v>
      </c>
      <c r="F383" s="7"/>
      <c r="G383" s="7">
        <v>856188.33</v>
      </c>
      <c r="H383" s="7"/>
      <c r="I383" s="7"/>
      <c r="J383" s="7"/>
      <c r="K383" s="7">
        <v>856188</v>
      </c>
      <c r="L383" s="7"/>
      <c r="M383" s="7"/>
    </row>
    <row r="384" ht="30.6" customHeight="1" spans="1:13">
      <c r="A384" s="6" t="s">
        <v>181</v>
      </c>
      <c r="B384" s="6" t="s">
        <v>593</v>
      </c>
      <c r="C384" s="6" t="s">
        <v>258</v>
      </c>
      <c r="D384" s="5" t="s">
        <v>181</v>
      </c>
      <c r="E384" s="7">
        <v>100</v>
      </c>
      <c r="F384" s="7"/>
      <c r="G384" s="7">
        <v>145494.85</v>
      </c>
      <c r="H384" s="7"/>
      <c r="I384" s="7"/>
      <c r="J384" s="7"/>
      <c r="K384" s="7">
        <v>145495</v>
      </c>
      <c r="L384" s="7"/>
      <c r="M384" s="7"/>
    </row>
    <row r="385" ht="18" customHeight="1" spans="1:13">
      <c r="A385" s="6" t="s">
        <v>181</v>
      </c>
      <c r="B385" s="6" t="s">
        <v>594</v>
      </c>
      <c r="C385" s="6" t="s">
        <v>595</v>
      </c>
      <c r="D385" s="5" t="s">
        <v>181</v>
      </c>
      <c r="E385" s="7">
        <v>3.57</v>
      </c>
      <c r="F385" s="7"/>
      <c r="G385" s="7">
        <v>514269.82</v>
      </c>
      <c r="H385" s="7"/>
      <c r="I385" s="7"/>
      <c r="J385" s="7"/>
      <c r="K385" s="7">
        <v>18359</v>
      </c>
      <c r="L385" s="7"/>
      <c r="M385" s="7"/>
    </row>
    <row r="386" ht="30.6" customHeight="1" spans="1:13">
      <c r="A386" s="6" t="s">
        <v>181</v>
      </c>
      <c r="B386" s="6" t="s">
        <v>598</v>
      </c>
      <c r="C386" s="6" t="s">
        <v>599</v>
      </c>
      <c r="D386" s="5" t="s">
        <v>181</v>
      </c>
      <c r="E386" s="7">
        <v>3.82</v>
      </c>
      <c r="F386" s="7"/>
      <c r="G386" s="7">
        <v>514269.82</v>
      </c>
      <c r="H386" s="7"/>
      <c r="I386" s="7"/>
      <c r="J386" s="7"/>
      <c r="K386" s="7">
        <v>19645</v>
      </c>
      <c r="L386" s="7"/>
      <c r="M386" s="7"/>
    </row>
    <row r="387" ht="30.6" customHeight="1" spans="1:13">
      <c r="A387" s="6" t="s">
        <v>181</v>
      </c>
      <c r="B387" s="6" t="s">
        <v>602</v>
      </c>
      <c r="C387" s="6" t="s">
        <v>76</v>
      </c>
      <c r="D387" s="5" t="s">
        <v>181</v>
      </c>
      <c r="E387" s="7">
        <v>6.35</v>
      </c>
      <c r="F387" s="7"/>
      <c r="G387" s="7">
        <v>656150.1</v>
      </c>
      <c r="H387" s="7"/>
      <c r="I387" s="7"/>
      <c r="J387" s="7"/>
      <c r="K387" s="7">
        <v>41666</v>
      </c>
      <c r="L387" s="7"/>
      <c r="M387" s="7"/>
    </row>
    <row r="388" ht="18" customHeight="1" spans="1:13">
      <c r="A388" s="6" t="s">
        <v>181</v>
      </c>
      <c r="B388" s="6" t="s">
        <v>603</v>
      </c>
      <c r="C388" s="6" t="s">
        <v>604</v>
      </c>
      <c r="D388" s="5" t="s">
        <v>181</v>
      </c>
      <c r="E388" s="7">
        <v>2.36</v>
      </c>
      <c r="F388" s="7"/>
      <c r="G388" s="7">
        <v>514269.82</v>
      </c>
      <c r="H388" s="7"/>
      <c r="I388" s="7"/>
      <c r="J388" s="7"/>
      <c r="K388" s="7">
        <v>12137</v>
      </c>
      <c r="L388" s="7"/>
      <c r="M388" s="7"/>
    </row>
    <row r="389" ht="18" customHeight="1" spans="1:13">
      <c r="A389" s="6" t="s">
        <v>181</v>
      </c>
      <c r="B389" s="6" t="s">
        <v>605</v>
      </c>
      <c r="C389" s="6" t="s">
        <v>213</v>
      </c>
      <c r="D389" s="5" t="s">
        <v>181</v>
      </c>
      <c r="E389" s="7">
        <v>3.55</v>
      </c>
      <c r="F389" s="7"/>
      <c r="G389" s="7">
        <v>1512338.42</v>
      </c>
      <c r="H389" s="7"/>
      <c r="I389" s="7"/>
      <c r="J389" s="7"/>
      <c r="K389" s="7">
        <v>53688</v>
      </c>
      <c r="L389" s="7"/>
      <c r="M389" s="7"/>
    </row>
    <row r="390" ht="18" customHeight="1" spans="1:13">
      <c r="A390" s="6" t="s">
        <v>181</v>
      </c>
      <c r="B390" s="6" t="s">
        <v>606</v>
      </c>
      <c r="C390" s="6" t="s">
        <v>607</v>
      </c>
      <c r="D390" s="5" t="s">
        <v>181</v>
      </c>
      <c r="E390" s="7">
        <v>100</v>
      </c>
      <c r="F390" s="7"/>
      <c r="G390" s="7">
        <v>382552.15</v>
      </c>
      <c r="H390" s="7"/>
      <c r="I390" s="7"/>
      <c r="J390" s="7"/>
      <c r="K390" s="7">
        <v>382552</v>
      </c>
      <c r="L390" s="7"/>
      <c r="M390" s="7"/>
    </row>
    <row r="391" ht="30.6" customHeight="1" spans="1:13">
      <c r="A391" s="6" t="s">
        <v>181</v>
      </c>
      <c r="B391" s="6" t="s">
        <v>577</v>
      </c>
      <c r="C391" s="6" t="s">
        <v>608</v>
      </c>
      <c r="D391" s="5" t="s">
        <v>181</v>
      </c>
      <c r="E391" s="7">
        <v>100</v>
      </c>
      <c r="F391" s="7"/>
      <c r="G391" s="7">
        <v>191694.08</v>
      </c>
      <c r="H391" s="7"/>
      <c r="I391" s="7"/>
      <c r="J391" s="7"/>
      <c r="K391" s="7">
        <v>191694</v>
      </c>
      <c r="L391" s="7"/>
      <c r="M391" s="7"/>
    </row>
    <row r="392" ht="18" customHeight="1" spans="1:13">
      <c r="A392" s="6" t="s">
        <v>181</v>
      </c>
      <c r="B392" s="6" t="s">
        <v>579</v>
      </c>
      <c r="C392" s="6" t="s">
        <v>609</v>
      </c>
      <c r="D392" s="5" t="s">
        <v>181</v>
      </c>
      <c r="E392" s="7">
        <v>23.5</v>
      </c>
      <c r="F392" s="7"/>
      <c r="G392" s="7">
        <v>539983.31</v>
      </c>
      <c r="H392" s="7"/>
      <c r="I392" s="7"/>
      <c r="J392" s="7"/>
      <c r="K392" s="7">
        <v>126896</v>
      </c>
      <c r="L392" s="7"/>
      <c r="M392" s="7"/>
    </row>
    <row r="393" ht="18" customHeight="1" spans="1:13">
      <c r="A393" s="6" t="s">
        <v>181</v>
      </c>
      <c r="B393" s="6" t="s">
        <v>587</v>
      </c>
      <c r="C393" s="6" t="s">
        <v>610</v>
      </c>
      <c r="D393" s="5" t="s">
        <v>181</v>
      </c>
      <c r="E393" s="7">
        <v>12</v>
      </c>
      <c r="F393" s="7"/>
      <c r="G393" s="7">
        <v>539983.31</v>
      </c>
      <c r="H393" s="7"/>
      <c r="I393" s="7"/>
      <c r="J393" s="7"/>
      <c r="K393" s="7">
        <v>64798</v>
      </c>
      <c r="L393" s="7"/>
      <c r="M393" s="7"/>
    </row>
    <row r="394" ht="18" customHeight="1" spans="1:13">
      <c r="A394" s="6" t="s">
        <v>181</v>
      </c>
      <c r="B394" s="6" t="s">
        <v>593</v>
      </c>
      <c r="C394" s="6" t="s">
        <v>611</v>
      </c>
      <c r="D394" s="5" t="s">
        <v>181</v>
      </c>
      <c r="E394" s="7">
        <v>35.76</v>
      </c>
      <c r="F394" s="7"/>
      <c r="G394" s="7">
        <v>514269.82</v>
      </c>
      <c r="H394" s="7"/>
      <c r="I394" s="7"/>
      <c r="J394" s="7"/>
      <c r="K394" s="7">
        <v>183903</v>
      </c>
      <c r="L394" s="7"/>
      <c r="M394" s="7"/>
    </row>
    <row r="395" ht="30.6" customHeight="1" spans="1:13">
      <c r="A395" s="6" t="s">
        <v>181</v>
      </c>
      <c r="B395" s="6" t="s">
        <v>612</v>
      </c>
      <c r="C395" s="6" t="s">
        <v>613</v>
      </c>
      <c r="D395" s="5" t="s">
        <v>181</v>
      </c>
      <c r="E395" s="7">
        <v>1.06</v>
      </c>
      <c r="F395" s="7"/>
      <c r="G395" s="7">
        <v>656150.1</v>
      </c>
      <c r="H395" s="7"/>
      <c r="I395" s="7"/>
      <c r="J395" s="7"/>
      <c r="K395" s="7">
        <v>6955</v>
      </c>
      <c r="L395" s="7"/>
      <c r="M395" s="7"/>
    </row>
    <row r="396" ht="18" customHeight="1" spans="1:13">
      <c r="A396" s="6" t="s">
        <v>181</v>
      </c>
      <c r="B396" s="6" t="s">
        <v>614</v>
      </c>
      <c r="C396" s="6" t="s">
        <v>615</v>
      </c>
      <c r="D396" s="5" t="s">
        <v>181</v>
      </c>
      <c r="E396" s="7">
        <v>5</v>
      </c>
      <c r="F396" s="7"/>
      <c r="G396" s="7">
        <v>2040385.43</v>
      </c>
      <c r="H396" s="7"/>
      <c r="I396" s="7"/>
      <c r="J396" s="7"/>
      <c r="K396" s="7">
        <v>102019</v>
      </c>
      <c r="L396" s="7"/>
      <c r="M396" s="7"/>
    </row>
    <row r="397" ht="44.1" customHeight="1" spans="1:13">
      <c r="A397" s="6" t="s">
        <v>181</v>
      </c>
      <c r="B397" s="6" t="s">
        <v>616</v>
      </c>
      <c r="C397" s="6" t="s">
        <v>617</v>
      </c>
      <c r="D397" s="5" t="s">
        <v>181</v>
      </c>
      <c r="E397" s="7">
        <v>100</v>
      </c>
      <c r="F397" s="7"/>
      <c r="G397" s="7">
        <v>64840.65</v>
      </c>
      <c r="H397" s="7"/>
      <c r="I397" s="7"/>
      <c r="J397" s="7"/>
      <c r="K397" s="7">
        <v>64841</v>
      </c>
      <c r="L397" s="7"/>
      <c r="M397" s="7"/>
    </row>
    <row r="398" ht="18" customHeight="1" spans="1:13">
      <c r="A398" s="6" t="s">
        <v>181</v>
      </c>
      <c r="B398" s="6" t="s">
        <v>577</v>
      </c>
      <c r="C398" s="6" t="s">
        <v>618</v>
      </c>
      <c r="D398" s="5" t="s">
        <v>181</v>
      </c>
      <c r="E398" s="7">
        <v>100</v>
      </c>
      <c r="F398" s="7"/>
      <c r="G398" s="7">
        <v>54769.74</v>
      </c>
      <c r="H398" s="7"/>
      <c r="I398" s="7"/>
      <c r="J398" s="7"/>
      <c r="K398" s="7">
        <v>54770</v>
      </c>
      <c r="L398" s="7"/>
      <c r="M398" s="7"/>
    </row>
    <row r="399" ht="18" customHeight="1" spans="1:13">
      <c r="A399" s="6" t="s">
        <v>181</v>
      </c>
      <c r="B399" s="6" t="s">
        <v>593</v>
      </c>
      <c r="C399" s="6" t="s">
        <v>619</v>
      </c>
      <c r="D399" s="5" t="s">
        <v>181</v>
      </c>
      <c r="E399" s="7">
        <v>100</v>
      </c>
      <c r="F399" s="7"/>
      <c r="G399" s="7">
        <v>282.27</v>
      </c>
      <c r="H399" s="7"/>
      <c r="I399" s="7"/>
      <c r="J399" s="7"/>
      <c r="K399" s="7">
        <v>282</v>
      </c>
      <c r="L399" s="7"/>
      <c r="M399" s="7"/>
    </row>
    <row r="400" ht="18" customHeight="1" spans="1:13">
      <c r="A400" s="6" t="s">
        <v>181</v>
      </c>
      <c r="B400" s="6" t="s">
        <v>612</v>
      </c>
      <c r="C400" s="6" t="s">
        <v>620</v>
      </c>
      <c r="D400" s="5" t="s">
        <v>181</v>
      </c>
      <c r="E400" s="7">
        <v>100</v>
      </c>
      <c r="F400" s="7"/>
      <c r="G400" s="7">
        <v>6967.81</v>
      </c>
      <c r="H400" s="7"/>
      <c r="I400" s="7"/>
      <c r="J400" s="7"/>
      <c r="K400" s="7">
        <v>6968</v>
      </c>
      <c r="L400" s="7"/>
      <c r="M400" s="7"/>
    </row>
    <row r="401" ht="18" customHeight="1" spans="1:13">
      <c r="A401" s="6" t="s">
        <v>181</v>
      </c>
      <c r="B401" s="6" t="s">
        <v>621</v>
      </c>
      <c r="C401" s="6" t="s">
        <v>622</v>
      </c>
      <c r="D401" s="5" t="s">
        <v>181</v>
      </c>
      <c r="E401" s="7">
        <v>100</v>
      </c>
      <c r="F401" s="7"/>
      <c r="G401" s="7">
        <v>2820.83</v>
      </c>
      <c r="H401" s="7"/>
      <c r="I401" s="7"/>
      <c r="J401" s="7"/>
      <c r="K401" s="7">
        <v>2821</v>
      </c>
      <c r="L401" s="7"/>
      <c r="M401" s="7"/>
    </row>
    <row r="402" ht="18" customHeight="1" spans="1:13">
      <c r="A402" s="6" t="s">
        <v>181</v>
      </c>
      <c r="B402" s="6" t="s">
        <v>625</v>
      </c>
      <c r="C402" s="6" t="s">
        <v>626</v>
      </c>
      <c r="D402" s="5" t="s">
        <v>181</v>
      </c>
      <c r="E402" s="7">
        <v>100</v>
      </c>
      <c r="F402" s="7"/>
      <c r="G402" s="7">
        <v>2820.83</v>
      </c>
      <c r="H402" s="7"/>
      <c r="I402" s="7"/>
      <c r="J402" s="7"/>
      <c r="K402" s="7">
        <v>2821</v>
      </c>
      <c r="L402" s="7"/>
      <c r="M402" s="7"/>
    </row>
    <row r="403" ht="18" customHeight="1" spans="1:13">
      <c r="A403" s="6" t="s">
        <v>181</v>
      </c>
      <c r="B403" s="6" t="s">
        <v>627</v>
      </c>
      <c r="C403" s="6" t="s">
        <v>216</v>
      </c>
      <c r="D403" s="5" t="s">
        <v>181</v>
      </c>
      <c r="E403" s="7">
        <v>9</v>
      </c>
      <c r="F403" s="7"/>
      <c r="G403" s="7">
        <v>2207245.35</v>
      </c>
      <c r="H403" s="7"/>
      <c r="I403" s="7"/>
      <c r="J403" s="7"/>
      <c r="K403" s="7">
        <v>198652</v>
      </c>
      <c r="L403" s="7"/>
      <c r="M403" s="7"/>
    </row>
    <row r="404" ht="18" customHeight="1" spans="1:13">
      <c r="A404" s="6" t="s">
        <v>181</v>
      </c>
      <c r="B404" s="6" t="s">
        <v>662</v>
      </c>
      <c r="C404" s="6" t="s">
        <v>640</v>
      </c>
      <c r="D404" s="5" t="s">
        <v>181</v>
      </c>
      <c r="E404" s="7">
        <v>100</v>
      </c>
      <c r="F404" s="7"/>
      <c r="G404" s="7">
        <v>1546888.28</v>
      </c>
      <c r="H404" s="7"/>
      <c r="I404" s="7"/>
      <c r="J404" s="7"/>
      <c r="K404" s="7">
        <v>1546888</v>
      </c>
      <c r="L404" s="7"/>
      <c r="M404" s="7"/>
    </row>
    <row r="405" ht="18" customHeight="1" spans="1:13">
      <c r="A405" s="6" t="s">
        <v>181</v>
      </c>
      <c r="B405" s="6" t="s">
        <v>704</v>
      </c>
      <c r="C405" s="6" t="s">
        <v>705</v>
      </c>
      <c r="D405" s="5" t="s">
        <v>181</v>
      </c>
      <c r="E405" s="7">
        <v>100</v>
      </c>
      <c r="F405" s="7"/>
      <c r="G405" s="7">
        <v>859009.16</v>
      </c>
      <c r="H405" s="7"/>
      <c r="I405" s="7"/>
      <c r="J405" s="7"/>
      <c r="K405" s="7">
        <v>859009</v>
      </c>
      <c r="L405" s="7"/>
      <c r="M405" s="7"/>
    </row>
    <row r="406" ht="18" customHeight="1" spans="1:13">
      <c r="A406" s="6" t="s">
        <v>181</v>
      </c>
      <c r="B406" s="6" t="s">
        <v>631</v>
      </c>
      <c r="C406" s="6" t="s">
        <v>100</v>
      </c>
      <c r="D406" s="5" t="s">
        <v>181</v>
      </c>
      <c r="E406" s="7">
        <v>100</v>
      </c>
      <c r="F406" s="7"/>
      <c r="G406" s="7">
        <v>2405897.43</v>
      </c>
      <c r="H406" s="7"/>
      <c r="I406" s="7"/>
      <c r="J406" s="7"/>
      <c r="K406" s="7">
        <v>2405897</v>
      </c>
      <c r="L406" s="7"/>
      <c r="M406" s="7"/>
    </row>
    <row r="407" ht="18" customHeight="1" spans="1:13">
      <c r="A407" s="6" t="s">
        <v>181</v>
      </c>
      <c r="B407" s="6" t="s">
        <v>663</v>
      </c>
      <c r="C407" s="6" t="s">
        <v>173</v>
      </c>
      <c r="D407" s="5" t="s">
        <v>181</v>
      </c>
      <c r="E407" s="7">
        <v>100</v>
      </c>
      <c r="F407" s="7"/>
      <c r="G407" s="7">
        <v>2405897.43</v>
      </c>
      <c r="H407" s="7"/>
      <c r="I407" s="7"/>
      <c r="J407" s="7"/>
      <c r="K407" s="7">
        <v>2405897</v>
      </c>
      <c r="L407" s="7"/>
      <c r="M407" s="7"/>
    </row>
    <row r="408" ht="18" customHeight="1" spans="1:13">
      <c r="A408" s="6" t="s">
        <v>181</v>
      </c>
      <c r="B408" s="6" t="s">
        <v>181</v>
      </c>
      <c r="C408" s="6" t="s">
        <v>181</v>
      </c>
      <c r="D408" s="5" t="s">
        <v>181</v>
      </c>
      <c r="E408" s="7"/>
      <c r="F408" s="7"/>
      <c r="G408" s="7"/>
      <c r="H408" s="7"/>
      <c r="I408" s="7"/>
      <c r="J408" s="7"/>
      <c r="K408" s="7"/>
      <c r="L408" s="7"/>
      <c r="M408" s="7"/>
    </row>
    <row r="409" ht="18" customHeight="1" spans="1:13">
      <c r="A409" s="6" t="s">
        <v>621</v>
      </c>
      <c r="B409" s="6" t="s">
        <v>181</v>
      </c>
      <c r="C409" s="6" t="s">
        <v>570</v>
      </c>
      <c r="D409" s="5" t="s">
        <v>181</v>
      </c>
      <c r="E409" s="7"/>
      <c r="F409" s="7"/>
      <c r="G409" s="7"/>
      <c r="H409" s="7"/>
      <c r="I409" s="7"/>
      <c r="J409" s="7">
        <v>1374670</v>
      </c>
      <c r="K409" s="7">
        <v>3120238</v>
      </c>
      <c r="L409" s="7">
        <v>210222</v>
      </c>
      <c r="M409" s="7">
        <v>224378</v>
      </c>
    </row>
    <row r="410" ht="18" customHeight="1" spans="1:13">
      <c r="A410" s="6" t="s">
        <v>623</v>
      </c>
      <c r="B410" s="6" t="s">
        <v>181</v>
      </c>
      <c r="C410" s="6" t="s">
        <v>791</v>
      </c>
      <c r="D410" s="5" t="s">
        <v>181</v>
      </c>
      <c r="E410" s="7"/>
      <c r="F410" s="7"/>
      <c r="G410" s="7"/>
      <c r="H410" s="7"/>
      <c r="I410" s="7"/>
      <c r="J410" s="7"/>
      <c r="K410" s="7">
        <v>17975</v>
      </c>
      <c r="L410" s="7">
        <v>2407</v>
      </c>
      <c r="M410" s="7">
        <v>9304</v>
      </c>
    </row>
    <row r="411" ht="18" customHeight="1" spans="1:13">
      <c r="A411" s="6" t="s">
        <v>181</v>
      </c>
      <c r="B411" s="6" t="s">
        <v>181</v>
      </c>
      <c r="C411" s="6" t="s">
        <v>792</v>
      </c>
      <c r="D411" s="5" t="s">
        <v>181</v>
      </c>
      <c r="E411" s="7"/>
      <c r="F411" s="7"/>
      <c r="G411" s="7"/>
      <c r="H411" s="7"/>
      <c r="I411" s="7"/>
      <c r="J411" s="7"/>
      <c r="K411" s="7"/>
      <c r="L411" s="7"/>
      <c r="M411" s="7"/>
    </row>
    <row r="412" ht="18" customHeight="1" spans="1:13">
      <c r="A412" s="6" t="s">
        <v>181</v>
      </c>
      <c r="B412" s="6" t="s">
        <v>793</v>
      </c>
      <c r="C412" s="6" t="s">
        <v>794</v>
      </c>
      <c r="D412" s="5" t="s">
        <v>182</v>
      </c>
      <c r="E412" s="7">
        <v>92.483</v>
      </c>
      <c r="F412" s="7"/>
      <c r="G412" s="7">
        <v>78.19</v>
      </c>
      <c r="H412" s="7">
        <v>12.22</v>
      </c>
      <c r="I412" s="7">
        <v>65.81</v>
      </c>
      <c r="J412" s="7"/>
      <c r="K412" s="7">
        <v>7231</v>
      </c>
      <c r="L412" s="7">
        <v>1130</v>
      </c>
      <c r="M412" s="7">
        <v>6086</v>
      </c>
    </row>
    <row r="413" ht="18" customHeight="1" spans="1:13">
      <c r="A413" s="6" t="s">
        <v>181</v>
      </c>
      <c r="B413" s="6" t="s">
        <v>795</v>
      </c>
      <c r="C413" s="6" t="s">
        <v>796</v>
      </c>
      <c r="D413" s="5" t="s">
        <v>647</v>
      </c>
      <c r="E413" s="7">
        <v>1109.802</v>
      </c>
      <c r="F413" s="7"/>
      <c r="G413" s="7">
        <v>1.66</v>
      </c>
      <c r="H413" s="7">
        <v>0.61</v>
      </c>
      <c r="I413" s="7">
        <v>1.05</v>
      </c>
      <c r="J413" s="7"/>
      <c r="K413" s="7">
        <v>1842</v>
      </c>
      <c r="L413" s="7">
        <v>677</v>
      </c>
      <c r="M413" s="7">
        <v>1165</v>
      </c>
    </row>
    <row r="414" ht="18" customHeight="1" spans="1:13">
      <c r="A414" s="6" t="s">
        <v>181</v>
      </c>
      <c r="B414" s="6" t="s">
        <v>797</v>
      </c>
      <c r="C414" s="6" t="s">
        <v>798</v>
      </c>
      <c r="D414" s="5" t="s">
        <v>182</v>
      </c>
      <c r="E414" s="7">
        <v>21.696</v>
      </c>
      <c r="F414" s="7"/>
      <c r="G414" s="7">
        <v>83.85</v>
      </c>
      <c r="H414" s="7">
        <v>13.55</v>
      </c>
      <c r="I414" s="7">
        <v>70.14</v>
      </c>
      <c r="J414" s="7"/>
      <c r="K414" s="7">
        <v>1819</v>
      </c>
      <c r="L414" s="7">
        <v>294</v>
      </c>
      <c r="M414" s="7">
        <v>1522</v>
      </c>
    </row>
    <row r="415" ht="18" customHeight="1" spans="1:13">
      <c r="A415" s="6" t="s">
        <v>181</v>
      </c>
      <c r="B415" s="6" t="s">
        <v>799</v>
      </c>
      <c r="C415" s="6" t="s">
        <v>800</v>
      </c>
      <c r="D415" s="5" t="s">
        <v>647</v>
      </c>
      <c r="E415" s="7">
        <v>260.346</v>
      </c>
      <c r="F415" s="7"/>
      <c r="G415" s="7">
        <v>2.03</v>
      </c>
      <c r="H415" s="7">
        <v>0.74</v>
      </c>
      <c r="I415" s="7">
        <v>1.29</v>
      </c>
      <c r="J415" s="7"/>
      <c r="K415" s="7">
        <v>529</v>
      </c>
      <c r="L415" s="7">
        <v>193</v>
      </c>
      <c r="M415" s="7">
        <v>336</v>
      </c>
    </row>
    <row r="416" ht="18" customHeight="1" spans="1:13">
      <c r="A416" s="6" t="s">
        <v>181</v>
      </c>
      <c r="B416" s="6" t="s">
        <v>181</v>
      </c>
      <c r="C416" s="6" t="s">
        <v>661</v>
      </c>
      <c r="D416" s="5" t="s">
        <v>660</v>
      </c>
      <c r="E416" s="7">
        <v>13</v>
      </c>
      <c r="F416" s="7"/>
      <c r="G416" s="7">
        <v>2370.77</v>
      </c>
      <c r="H416" s="7">
        <v>869.64</v>
      </c>
      <c r="I416" s="7">
        <v>1501.14</v>
      </c>
      <c r="J416" s="7"/>
      <c r="K416" s="7">
        <v>308</v>
      </c>
      <c r="L416" s="7">
        <v>113</v>
      </c>
      <c r="M416" s="7">
        <v>195</v>
      </c>
    </row>
    <row r="417" ht="18" customHeight="1" spans="1:13">
      <c r="A417" s="6" t="s">
        <v>181</v>
      </c>
      <c r="B417" s="6" t="s">
        <v>181</v>
      </c>
      <c r="C417" s="6" t="s">
        <v>562</v>
      </c>
      <c r="D417" s="5" t="s">
        <v>181</v>
      </c>
      <c r="E417" s="7"/>
      <c r="F417" s="7"/>
      <c r="G417" s="7"/>
      <c r="H417" s="7"/>
      <c r="I417" s="7"/>
      <c r="J417" s="7"/>
      <c r="K417" s="7">
        <v>11729</v>
      </c>
      <c r="L417" s="7">
        <v>2407</v>
      </c>
      <c r="M417" s="7">
        <v>9304</v>
      </c>
    </row>
    <row r="418" ht="18" customHeight="1" spans="1:13">
      <c r="A418" s="6" t="s">
        <v>181</v>
      </c>
      <c r="B418" s="6" t="s">
        <v>181</v>
      </c>
      <c r="C418" s="6" t="s">
        <v>181</v>
      </c>
      <c r="D418" s="5" t="s">
        <v>181</v>
      </c>
      <c r="E418" s="7"/>
      <c r="F418" s="7"/>
      <c r="G418" s="7"/>
      <c r="H418" s="7"/>
      <c r="I418" s="7"/>
      <c r="J418" s="7"/>
      <c r="K418" s="7"/>
      <c r="L418" s="7"/>
      <c r="M418" s="7"/>
    </row>
    <row r="419" ht="18" customHeight="1" spans="1:13">
      <c r="A419" s="6" t="s">
        <v>181</v>
      </c>
      <c r="B419" s="6" t="s">
        <v>354</v>
      </c>
      <c r="C419" s="6" t="s">
        <v>210</v>
      </c>
      <c r="D419" s="5" t="s">
        <v>181</v>
      </c>
      <c r="E419" s="7">
        <v>100</v>
      </c>
      <c r="F419" s="7"/>
      <c r="G419" s="7">
        <v>13125.31</v>
      </c>
      <c r="H419" s="7"/>
      <c r="I419" s="7"/>
      <c r="J419" s="7"/>
      <c r="K419" s="7">
        <v>13125</v>
      </c>
      <c r="L419" s="7"/>
      <c r="M419" s="7"/>
    </row>
    <row r="420" ht="18" customHeight="1" spans="1:13">
      <c r="A420" s="6" t="s">
        <v>181</v>
      </c>
      <c r="B420" s="6" t="s">
        <v>577</v>
      </c>
      <c r="C420" s="6" t="s">
        <v>578</v>
      </c>
      <c r="D420" s="5" t="s">
        <v>181</v>
      </c>
      <c r="E420" s="7">
        <v>100</v>
      </c>
      <c r="F420" s="7"/>
      <c r="G420" s="7">
        <v>11729.43</v>
      </c>
      <c r="H420" s="7"/>
      <c r="I420" s="7"/>
      <c r="J420" s="7"/>
      <c r="K420" s="7">
        <v>11729</v>
      </c>
      <c r="L420" s="7"/>
      <c r="M420" s="7"/>
    </row>
    <row r="421" ht="18" customHeight="1" spans="1:13">
      <c r="A421" s="6" t="s">
        <v>181</v>
      </c>
      <c r="B421" s="6" t="s">
        <v>579</v>
      </c>
      <c r="C421" s="6" t="s">
        <v>580</v>
      </c>
      <c r="D421" s="5" t="s">
        <v>181</v>
      </c>
      <c r="E421" s="7">
        <v>100</v>
      </c>
      <c r="F421" s="7"/>
      <c r="G421" s="7">
        <v>11729.43</v>
      </c>
      <c r="H421" s="7"/>
      <c r="I421" s="7"/>
      <c r="J421" s="7"/>
      <c r="K421" s="7">
        <v>11729</v>
      </c>
      <c r="L421" s="7"/>
      <c r="M421" s="7"/>
    </row>
    <row r="422" ht="18" customHeight="1" spans="1:13">
      <c r="A422" s="6" t="s">
        <v>181</v>
      </c>
      <c r="B422" s="6" t="s">
        <v>581</v>
      </c>
      <c r="C422" s="6" t="s">
        <v>582</v>
      </c>
      <c r="D422" s="5" t="s">
        <v>181</v>
      </c>
      <c r="E422" s="7">
        <v>100</v>
      </c>
      <c r="F422" s="7"/>
      <c r="G422" s="7">
        <v>2406.81</v>
      </c>
      <c r="H422" s="7"/>
      <c r="I422" s="7"/>
      <c r="J422" s="7"/>
      <c r="K422" s="7">
        <v>2407</v>
      </c>
      <c r="L422" s="7"/>
      <c r="M422" s="7"/>
    </row>
    <row r="423" ht="18" customHeight="1" spans="1:13">
      <c r="A423" s="6" t="s">
        <v>181</v>
      </c>
      <c r="B423" s="6" t="s">
        <v>583</v>
      </c>
      <c r="C423" s="6" t="s">
        <v>584</v>
      </c>
      <c r="D423" s="5" t="s">
        <v>181</v>
      </c>
      <c r="E423" s="7">
        <v>100</v>
      </c>
      <c r="F423" s="7"/>
      <c r="G423" s="7">
        <v>18.27</v>
      </c>
      <c r="H423" s="7"/>
      <c r="I423" s="7"/>
      <c r="J423" s="7"/>
      <c r="K423" s="7">
        <v>18</v>
      </c>
      <c r="L423" s="7"/>
      <c r="M423" s="7"/>
    </row>
    <row r="424" ht="18" customHeight="1" spans="1:13">
      <c r="A424" s="6" t="s">
        <v>181</v>
      </c>
      <c r="B424" s="6" t="s">
        <v>585</v>
      </c>
      <c r="C424" s="6" t="s">
        <v>586</v>
      </c>
      <c r="D424" s="5" t="s">
        <v>181</v>
      </c>
      <c r="E424" s="7">
        <v>100</v>
      </c>
      <c r="F424" s="7"/>
      <c r="G424" s="7">
        <v>9304.35</v>
      </c>
      <c r="H424" s="7"/>
      <c r="I424" s="7"/>
      <c r="J424" s="7"/>
      <c r="K424" s="7">
        <v>9304</v>
      </c>
      <c r="L424" s="7"/>
      <c r="M424" s="7"/>
    </row>
    <row r="425" ht="18" customHeight="1" spans="1:13">
      <c r="A425" s="6" t="s">
        <v>181</v>
      </c>
      <c r="B425" s="6" t="s">
        <v>593</v>
      </c>
      <c r="C425" s="6" t="s">
        <v>258</v>
      </c>
      <c r="D425" s="5" t="s">
        <v>181</v>
      </c>
      <c r="E425" s="7">
        <v>100</v>
      </c>
      <c r="F425" s="7"/>
      <c r="G425" s="7">
        <v>1395.88</v>
      </c>
      <c r="H425" s="7"/>
      <c r="I425" s="7"/>
      <c r="J425" s="7"/>
      <c r="K425" s="7">
        <v>1396</v>
      </c>
      <c r="L425" s="7"/>
      <c r="M425" s="7"/>
    </row>
    <row r="426" ht="18" customHeight="1" spans="1:13">
      <c r="A426" s="6" t="s">
        <v>181</v>
      </c>
      <c r="B426" s="6" t="s">
        <v>594</v>
      </c>
      <c r="C426" s="6" t="s">
        <v>595</v>
      </c>
      <c r="D426" s="5" t="s">
        <v>181</v>
      </c>
      <c r="E426" s="7">
        <v>3.57</v>
      </c>
      <c r="F426" s="7"/>
      <c r="G426" s="7">
        <v>2406.81</v>
      </c>
      <c r="H426" s="7"/>
      <c r="I426" s="7"/>
      <c r="J426" s="7"/>
      <c r="K426" s="7">
        <v>86</v>
      </c>
      <c r="L426" s="7"/>
      <c r="M426" s="7"/>
    </row>
    <row r="427" ht="18" customHeight="1" spans="1:13">
      <c r="A427" s="6" t="s">
        <v>181</v>
      </c>
      <c r="B427" s="6" t="s">
        <v>598</v>
      </c>
      <c r="C427" s="6" t="s">
        <v>599</v>
      </c>
      <c r="D427" s="5" t="s">
        <v>181</v>
      </c>
      <c r="E427" s="7">
        <v>3.82</v>
      </c>
      <c r="F427" s="7"/>
      <c r="G427" s="7">
        <v>2406.81</v>
      </c>
      <c r="H427" s="7"/>
      <c r="I427" s="7"/>
      <c r="J427" s="7"/>
      <c r="K427" s="7">
        <v>92</v>
      </c>
      <c r="L427" s="7"/>
      <c r="M427" s="7"/>
    </row>
    <row r="428" ht="18" customHeight="1" spans="1:13">
      <c r="A428" s="6" t="s">
        <v>181</v>
      </c>
      <c r="B428" s="6" t="s">
        <v>602</v>
      </c>
      <c r="C428" s="6" t="s">
        <v>76</v>
      </c>
      <c r="D428" s="5" t="s">
        <v>181</v>
      </c>
      <c r="E428" s="7">
        <v>6.35</v>
      </c>
      <c r="F428" s="7"/>
      <c r="G428" s="7">
        <v>11729.43</v>
      </c>
      <c r="H428" s="7"/>
      <c r="I428" s="7"/>
      <c r="J428" s="7"/>
      <c r="K428" s="7">
        <v>745</v>
      </c>
      <c r="L428" s="7"/>
      <c r="M428" s="7"/>
    </row>
    <row r="429" ht="18" customHeight="1" spans="1:13">
      <c r="A429" s="6" t="s">
        <v>181</v>
      </c>
      <c r="B429" s="6" t="s">
        <v>603</v>
      </c>
      <c r="C429" s="6" t="s">
        <v>604</v>
      </c>
      <c r="D429" s="5" t="s">
        <v>181</v>
      </c>
      <c r="E429" s="7">
        <v>2.36</v>
      </c>
      <c r="F429" s="7"/>
      <c r="G429" s="7">
        <v>2406.81</v>
      </c>
      <c r="H429" s="7"/>
      <c r="I429" s="7"/>
      <c r="J429" s="7"/>
      <c r="K429" s="7">
        <v>57</v>
      </c>
      <c r="L429" s="7"/>
      <c r="M429" s="7"/>
    </row>
    <row r="430" ht="18" customHeight="1" spans="1:13">
      <c r="A430" s="6" t="s">
        <v>181</v>
      </c>
      <c r="B430" s="6" t="s">
        <v>605</v>
      </c>
      <c r="C430" s="6" t="s">
        <v>213</v>
      </c>
      <c r="D430" s="5" t="s">
        <v>181</v>
      </c>
      <c r="E430" s="7">
        <v>3.55</v>
      </c>
      <c r="F430" s="7"/>
      <c r="G430" s="7">
        <v>11729.43</v>
      </c>
      <c r="H430" s="7"/>
      <c r="I430" s="7"/>
      <c r="J430" s="7"/>
      <c r="K430" s="7">
        <v>416</v>
      </c>
      <c r="L430" s="7"/>
      <c r="M430" s="7"/>
    </row>
    <row r="431" ht="18" customHeight="1" spans="1:13">
      <c r="A431" s="6" t="s">
        <v>181</v>
      </c>
      <c r="B431" s="6" t="s">
        <v>606</v>
      </c>
      <c r="C431" s="6" t="s">
        <v>607</v>
      </c>
      <c r="D431" s="5" t="s">
        <v>181</v>
      </c>
      <c r="E431" s="7">
        <v>100</v>
      </c>
      <c r="F431" s="7"/>
      <c r="G431" s="7">
        <v>1882.15</v>
      </c>
      <c r="H431" s="7"/>
      <c r="I431" s="7"/>
      <c r="J431" s="7"/>
      <c r="K431" s="7">
        <v>1882</v>
      </c>
      <c r="L431" s="7"/>
      <c r="M431" s="7"/>
    </row>
    <row r="432" ht="18" customHeight="1" spans="1:13">
      <c r="A432" s="6" t="s">
        <v>181</v>
      </c>
      <c r="B432" s="6" t="s">
        <v>577</v>
      </c>
      <c r="C432" s="6" t="s">
        <v>608</v>
      </c>
      <c r="D432" s="5" t="s">
        <v>181</v>
      </c>
      <c r="E432" s="7">
        <v>100</v>
      </c>
      <c r="F432" s="7"/>
      <c r="G432" s="7">
        <v>897.14</v>
      </c>
      <c r="H432" s="7"/>
      <c r="I432" s="7"/>
      <c r="J432" s="7"/>
      <c r="K432" s="7">
        <v>897</v>
      </c>
      <c r="L432" s="7"/>
      <c r="M432" s="7"/>
    </row>
    <row r="433" ht="18" customHeight="1" spans="1:13">
      <c r="A433" s="6" t="s">
        <v>181</v>
      </c>
      <c r="B433" s="6" t="s">
        <v>579</v>
      </c>
      <c r="C433" s="6" t="s">
        <v>609</v>
      </c>
      <c r="D433" s="5" t="s">
        <v>181</v>
      </c>
      <c r="E433" s="7">
        <v>23.5</v>
      </c>
      <c r="F433" s="7"/>
      <c r="G433" s="7">
        <v>2527.15</v>
      </c>
      <c r="H433" s="7"/>
      <c r="I433" s="7"/>
      <c r="J433" s="7"/>
      <c r="K433" s="7">
        <v>594</v>
      </c>
      <c r="L433" s="7"/>
      <c r="M433" s="7"/>
    </row>
    <row r="434" ht="18" customHeight="1" spans="1:13">
      <c r="A434" s="6" t="s">
        <v>181</v>
      </c>
      <c r="B434" s="6" t="s">
        <v>587</v>
      </c>
      <c r="C434" s="6" t="s">
        <v>610</v>
      </c>
      <c r="D434" s="5" t="s">
        <v>181</v>
      </c>
      <c r="E434" s="7">
        <v>12</v>
      </c>
      <c r="F434" s="7"/>
      <c r="G434" s="7">
        <v>2527.15</v>
      </c>
      <c r="H434" s="7"/>
      <c r="I434" s="7"/>
      <c r="J434" s="7"/>
      <c r="K434" s="7">
        <v>303</v>
      </c>
      <c r="L434" s="7"/>
      <c r="M434" s="7"/>
    </row>
    <row r="435" ht="18" customHeight="1" spans="1:13">
      <c r="A435" s="6" t="s">
        <v>181</v>
      </c>
      <c r="B435" s="6" t="s">
        <v>593</v>
      </c>
      <c r="C435" s="6" t="s">
        <v>611</v>
      </c>
      <c r="D435" s="5" t="s">
        <v>181</v>
      </c>
      <c r="E435" s="7">
        <v>35.76</v>
      </c>
      <c r="F435" s="7"/>
      <c r="G435" s="7">
        <v>2406.81</v>
      </c>
      <c r="H435" s="7"/>
      <c r="I435" s="7"/>
      <c r="J435" s="7"/>
      <c r="K435" s="7">
        <v>861</v>
      </c>
      <c r="L435" s="7"/>
      <c r="M435" s="7"/>
    </row>
    <row r="436" ht="18" customHeight="1" spans="1:13">
      <c r="A436" s="6" t="s">
        <v>181</v>
      </c>
      <c r="B436" s="6" t="s">
        <v>612</v>
      </c>
      <c r="C436" s="6" t="s">
        <v>613</v>
      </c>
      <c r="D436" s="5" t="s">
        <v>181</v>
      </c>
      <c r="E436" s="7">
        <v>1.06</v>
      </c>
      <c r="F436" s="7"/>
      <c r="G436" s="7">
        <v>11729.43</v>
      </c>
      <c r="H436" s="7"/>
      <c r="I436" s="7"/>
      <c r="J436" s="7"/>
      <c r="K436" s="7">
        <v>124</v>
      </c>
      <c r="L436" s="7"/>
      <c r="M436" s="7"/>
    </row>
    <row r="437" ht="18" customHeight="1" spans="1:13">
      <c r="A437" s="6" t="s">
        <v>181</v>
      </c>
      <c r="B437" s="6" t="s">
        <v>614</v>
      </c>
      <c r="C437" s="6" t="s">
        <v>615</v>
      </c>
      <c r="D437" s="5" t="s">
        <v>181</v>
      </c>
      <c r="E437" s="7">
        <v>5</v>
      </c>
      <c r="F437" s="7"/>
      <c r="G437" s="7">
        <v>15007.45</v>
      </c>
      <c r="H437" s="7"/>
      <c r="I437" s="7"/>
      <c r="J437" s="7"/>
      <c r="K437" s="7">
        <v>750</v>
      </c>
      <c r="L437" s="7"/>
      <c r="M437" s="7"/>
    </row>
    <row r="438" ht="30.6" customHeight="1" spans="1:13">
      <c r="A438" s="6" t="s">
        <v>181</v>
      </c>
      <c r="B438" s="6" t="s">
        <v>616</v>
      </c>
      <c r="C438" s="6" t="s">
        <v>617</v>
      </c>
      <c r="D438" s="5" t="s">
        <v>181</v>
      </c>
      <c r="E438" s="7">
        <v>100</v>
      </c>
      <c r="F438" s="7"/>
      <c r="G438" s="7">
        <v>732.71</v>
      </c>
      <c r="H438" s="7"/>
      <c r="I438" s="7"/>
      <c r="J438" s="7"/>
      <c r="K438" s="7">
        <v>733</v>
      </c>
      <c r="L438" s="7"/>
      <c r="M438" s="7"/>
    </row>
    <row r="439" ht="18" customHeight="1" spans="1:13">
      <c r="A439" s="6" t="s">
        <v>181</v>
      </c>
      <c r="B439" s="6" t="s">
        <v>577</v>
      </c>
      <c r="C439" s="6" t="s">
        <v>618</v>
      </c>
      <c r="D439" s="5" t="s">
        <v>181</v>
      </c>
      <c r="E439" s="7">
        <v>100</v>
      </c>
      <c r="F439" s="7"/>
      <c r="G439" s="7">
        <v>256.33</v>
      </c>
      <c r="H439" s="7"/>
      <c r="I439" s="7"/>
      <c r="J439" s="7"/>
      <c r="K439" s="7">
        <v>256</v>
      </c>
      <c r="L439" s="7"/>
      <c r="M439" s="7"/>
    </row>
    <row r="440" ht="30.6" customHeight="1" spans="1:13">
      <c r="A440" s="6" t="s">
        <v>181</v>
      </c>
      <c r="B440" s="6" t="s">
        <v>593</v>
      </c>
      <c r="C440" s="6" t="s">
        <v>619</v>
      </c>
      <c r="D440" s="5" t="s">
        <v>181</v>
      </c>
      <c r="E440" s="7">
        <v>100</v>
      </c>
      <c r="F440" s="7"/>
      <c r="G440" s="7">
        <v>0.93</v>
      </c>
      <c r="H440" s="7"/>
      <c r="I440" s="7"/>
      <c r="J440" s="7"/>
      <c r="K440" s="7">
        <v>1</v>
      </c>
      <c r="L440" s="7"/>
      <c r="M440" s="7"/>
    </row>
    <row r="441" ht="18" customHeight="1" spans="1:13">
      <c r="A441" s="6" t="s">
        <v>181</v>
      </c>
      <c r="B441" s="6" t="s">
        <v>612</v>
      </c>
      <c r="C441" s="6" t="s">
        <v>620</v>
      </c>
      <c r="D441" s="5" t="s">
        <v>181</v>
      </c>
      <c r="E441" s="7">
        <v>100</v>
      </c>
      <c r="F441" s="7"/>
      <c r="G441" s="7">
        <v>475.45</v>
      </c>
      <c r="H441" s="7"/>
      <c r="I441" s="7"/>
      <c r="J441" s="7"/>
      <c r="K441" s="7">
        <v>475</v>
      </c>
      <c r="L441" s="7"/>
      <c r="M441" s="7"/>
    </row>
    <row r="442" ht="18" customHeight="1" spans="1:13">
      <c r="A442" s="6" t="s">
        <v>181</v>
      </c>
      <c r="B442" s="6" t="s">
        <v>627</v>
      </c>
      <c r="C442" s="6" t="s">
        <v>216</v>
      </c>
      <c r="D442" s="5" t="s">
        <v>181</v>
      </c>
      <c r="E442" s="7">
        <v>9</v>
      </c>
      <c r="F442" s="7"/>
      <c r="G442" s="7">
        <v>16490.54</v>
      </c>
      <c r="H442" s="7"/>
      <c r="I442" s="7"/>
      <c r="J442" s="7"/>
      <c r="K442" s="7">
        <v>1484</v>
      </c>
      <c r="L442" s="7"/>
      <c r="M442" s="7"/>
    </row>
    <row r="443" ht="18" customHeight="1" spans="1:13">
      <c r="A443" s="6" t="s">
        <v>181</v>
      </c>
      <c r="B443" s="6" t="s">
        <v>662</v>
      </c>
      <c r="C443" s="6" t="s">
        <v>640</v>
      </c>
      <c r="D443" s="5" t="s">
        <v>181</v>
      </c>
      <c r="E443" s="7">
        <v>100</v>
      </c>
      <c r="F443" s="7"/>
      <c r="G443" s="7">
        <v>17974.69</v>
      </c>
      <c r="H443" s="7"/>
      <c r="I443" s="7"/>
      <c r="J443" s="7"/>
      <c r="K443" s="7">
        <v>17975</v>
      </c>
      <c r="L443" s="7"/>
      <c r="M443" s="7"/>
    </row>
    <row r="444" ht="18" customHeight="1" spans="1:13">
      <c r="A444" s="6" t="s">
        <v>181</v>
      </c>
      <c r="B444" s="6" t="s">
        <v>631</v>
      </c>
      <c r="C444" s="6" t="s">
        <v>100</v>
      </c>
      <c r="D444" s="5" t="s">
        <v>181</v>
      </c>
      <c r="E444" s="7">
        <v>100</v>
      </c>
      <c r="F444" s="7"/>
      <c r="G444" s="7">
        <v>17974.69</v>
      </c>
      <c r="H444" s="7"/>
      <c r="I444" s="7"/>
      <c r="J444" s="7"/>
      <c r="K444" s="7">
        <v>17975</v>
      </c>
      <c r="L444" s="7"/>
      <c r="M444" s="7"/>
    </row>
    <row r="445" ht="18" customHeight="1" spans="1:13">
      <c r="A445" s="6" t="s">
        <v>181</v>
      </c>
      <c r="B445" s="6" t="s">
        <v>663</v>
      </c>
      <c r="C445" s="6" t="s">
        <v>173</v>
      </c>
      <c r="D445" s="5" t="s">
        <v>181</v>
      </c>
      <c r="E445" s="7">
        <v>100</v>
      </c>
      <c r="F445" s="7"/>
      <c r="G445" s="7">
        <v>17974.69</v>
      </c>
      <c r="H445" s="7"/>
      <c r="I445" s="7"/>
      <c r="J445" s="7"/>
      <c r="K445" s="7">
        <v>17975</v>
      </c>
      <c r="L445" s="7"/>
      <c r="M445" s="7"/>
    </row>
    <row r="446" ht="18" customHeight="1" spans="1:13">
      <c r="A446" s="6" t="s">
        <v>181</v>
      </c>
      <c r="B446" s="6" t="s">
        <v>181</v>
      </c>
      <c r="C446" s="6" t="s">
        <v>181</v>
      </c>
      <c r="D446" s="5" t="s">
        <v>181</v>
      </c>
      <c r="E446" s="7"/>
      <c r="F446" s="7"/>
      <c r="G446" s="7"/>
      <c r="H446" s="7"/>
      <c r="I446" s="7"/>
      <c r="J446" s="7"/>
      <c r="K446" s="7"/>
      <c r="L446" s="7"/>
      <c r="M446" s="7"/>
    </row>
    <row r="447" ht="18" customHeight="1" spans="1:13">
      <c r="A447" s="6" t="s">
        <v>625</v>
      </c>
      <c r="B447" s="6" t="s">
        <v>181</v>
      </c>
      <c r="C447" s="6" t="s">
        <v>801</v>
      </c>
      <c r="D447" s="5" t="s">
        <v>181</v>
      </c>
      <c r="E447" s="7"/>
      <c r="F447" s="7"/>
      <c r="G447" s="7"/>
      <c r="H447" s="7"/>
      <c r="I447" s="7"/>
      <c r="J447" s="7">
        <v>1374670</v>
      </c>
      <c r="K447" s="7">
        <v>2937636</v>
      </c>
      <c r="L447" s="7">
        <v>156223</v>
      </c>
      <c r="M447" s="7">
        <v>209243</v>
      </c>
    </row>
    <row r="448" ht="18" customHeight="1" spans="1:13">
      <c r="A448" s="6" t="s">
        <v>181</v>
      </c>
      <c r="B448" s="6" t="s">
        <v>181</v>
      </c>
      <c r="C448" s="6" t="s">
        <v>802</v>
      </c>
      <c r="D448" s="5" t="s">
        <v>181</v>
      </c>
      <c r="E448" s="7"/>
      <c r="F448" s="7"/>
      <c r="G448" s="7"/>
      <c r="H448" s="7"/>
      <c r="I448" s="7"/>
      <c r="J448" s="7"/>
      <c r="K448" s="7"/>
      <c r="L448" s="7"/>
      <c r="M448" s="7"/>
    </row>
    <row r="449" ht="18" customHeight="1" spans="1:13">
      <c r="A449" s="6" t="s">
        <v>181</v>
      </c>
      <c r="B449" s="6" t="s">
        <v>803</v>
      </c>
      <c r="C449" s="6" t="s">
        <v>804</v>
      </c>
      <c r="D449" s="5" t="s">
        <v>410</v>
      </c>
      <c r="E449" s="7">
        <v>6</v>
      </c>
      <c r="F449" s="7"/>
      <c r="G449" s="7">
        <v>871.84</v>
      </c>
      <c r="H449" s="7">
        <v>823.58</v>
      </c>
      <c r="I449" s="7">
        <v>48.26</v>
      </c>
      <c r="J449" s="7"/>
      <c r="K449" s="7">
        <v>5231</v>
      </c>
      <c r="L449" s="7">
        <v>4941</v>
      </c>
      <c r="M449" s="7">
        <v>290</v>
      </c>
    </row>
    <row r="450" ht="18" customHeight="1" spans="1:13">
      <c r="A450" s="6" t="s">
        <v>181</v>
      </c>
      <c r="B450" s="6" t="s">
        <v>805</v>
      </c>
      <c r="C450" s="6" t="s">
        <v>806</v>
      </c>
      <c r="D450" s="5" t="s">
        <v>410</v>
      </c>
      <c r="E450" s="7">
        <v>6</v>
      </c>
      <c r="F450" s="7"/>
      <c r="G450" s="7">
        <v>3216.98</v>
      </c>
      <c r="H450" s="7">
        <v>438.53</v>
      </c>
      <c r="I450" s="7">
        <v>675.77</v>
      </c>
      <c r="J450" s="7"/>
      <c r="K450" s="7">
        <v>19302</v>
      </c>
      <c r="L450" s="7">
        <v>2631</v>
      </c>
      <c r="M450" s="7">
        <v>4055</v>
      </c>
    </row>
    <row r="451" ht="18" customHeight="1" spans="1:13">
      <c r="A451" s="6" t="s">
        <v>181</v>
      </c>
      <c r="B451" s="6" t="s">
        <v>181</v>
      </c>
      <c r="C451" s="6" t="s">
        <v>807</v>
      </c>
      <c r="D451" s="5" t="s">
        <v>181</v>
      </c>
      <c r="E451" s="7"/>
      <c r="F451" s="7"/>
      <c r="G451" s="7"/>
      <c r="H451" s="7"/>
      <c r="I451" s="7"/>
      <c r="J451" s="7"/>
      <c r="K451" s="7"/>
      <c r="L451" s="7"/>
      <c r="M451" s="7"/>
    </row>
    <row r="452" ht="18" customHeight="1" spans="1:13">
      <c r="A452" s="6" t="s">
        <v>181</v>
      </c>
      <c r="B452" s="6" t="s">
        <v>808</v>
      </c>
      <c r="C452" s="6" t="s">
        <v>809</v>
      </c>
      <c r="D452" s="5" t="s">
        <v>374</v>
      </c>
      <c r="E452" s="7">
        <v>15.3</v>
      </c>
      <c r="F452" s="7"/>
      <c r="G452" s="7">
        <v>2468.63</v>
      </c>
      <c r="H452" s="7">
        <v>1574.99</v>
      </c>
      <c r="I452" s="7">
        <v>324.4</v>
      </c>
      <c r="J452" s="7"/>
      <c r="K452" s="7">
        <v>37770</v>
      </c>
      <c r="L452" s="7">
        <v>24097</v>
      </c>
      <c r="M452" s="7">
        <v>4963</v>
      </c>
    </row>
    <row r="453" ht="18" customHeight="1" spans="1:13">
      <c r="A453" s="6" t="s">
        <v>181</v>
      </c>
      <c r="B453" s="6" t="s">
        <v>181</v>
      </c>
      <c r="C453" s="6" t="s">
        <v>810</v>
      </c>
      <c r="D453" s="5" t="s">
        <v>181</v>
      </c>
      <c r="E453" s="7"/>
      <c r="F453" s="7"/>
      <c r="G453" s="7"/>
      <c r="H453" s="7"/>
      <c r="I453" s="7"/>
      <c r="J453" s="7"/>
      <c r="K453" s="7"/>
      <c r="L453" s="7"/>
      <c r="M453" s="7"/>
    </row>
    <row r="454" ht="18" customHeight="1" spans="1:13">
      <c r="A454" s="6" t="s">
        <v>181</v>
      </c>
      <c r="B454" s="6" t="s">
        <v>811</v>
      </c>
      <c r="C454" s="6" t="s">
        <v>812</v>
      </c>
      <c r="D454" s="5" t="s">
        <v>374</v>
      </c>
      <c r="E454" s="7">
        <v>15.3</v>
      </c>
      <c r="F454" s="7"/>
      <c r="G454" s="7">
        <v>2674.7</v>
      </c>
      <c r="H454" s="7">
        <v>691.87</v>
      </c>
      <c r="I454" s="7">
        <v>1953.92</v>
      </c>
      <c r="J454" s="7"/>
      <c r="K454" s="7">
        <v>40923</v>
      </c>
      <c r="L454" s="7">
        <v>10586</v>
      </c>
      <c r="M454" s="7">
        <v>29895</v>
      </c>
    </row>
    <row r="455" ht="18" customHeight="1" spans="1:13">
      <c r="A455" s="6" t="s">
        <v>181</v>
      </c>
      <c r="B455" s="6" t="s">
        <v>813</v>
      </c>
      <c r="C455" s="6" t="s">
        <v>814</v>
      </c>
      <c r="D455" s="5" t="s">
        <v>374</v>
      </c>
      <c r="E455" s="7">
        <v>15.3</v>
      </c>
      <c r="F455" s="7"/>
      <c r="G455" s="7">
        <v>15998.63</v>
      </c>
      <c r="H455" s="7">
        <v>6303.68</v>
      </c>
      <c r="I455" s="7">
        <v>9271.43</v>
      </c>
      <c r="J455" s="7"/>
      <c r="K455" s="7">
        <v>244779</v>
      </c>
      <c r="L455" s="7">
        <v>96446</v>
      </c>
      <c r="M455" s="7">
        <v>141853</v>
      </c>
    </row>
    <row r="456" ht="18" customHeight="1" spans="1:13">
      <c r="A456" s="6" t="s">
        <v>181</v>
      </c>
      <c r="B456" s="6" t="s">
        <v>181</v>
      </c>
      <c r="C456" s="6" t="s">
        <v>815</v>
      </c>
      <c r="D456" s="5" t="s">
        <v>181</v>
      </c>
      <c r="E456" s="7"/>
      <c r="F456" s="7"/>
      <c r="G456" s="7"/>
      <c r="H456" s="7"/>
      <c r="I456" s="7"/>
      <c r="J456" s="7"/>
      <c r="K456" s="7"/>
      <c r="L456" s="7"/>
      <c r="M456" s="7"/>
    </row>
    <row r="457" ht="18" customHeight="1" spans="1:13">
      <c r="A457" s="6" t="s">
        <v>181</v>
      </c>
      <c r="B457" s="6" t="s">
        <v>816</v>
      </c>
      <c r="C457" s="6" t="s">
        <v>817</v>
      </c>
      <c r="D457" s="5" t="s">
        <v>818</v>
      </c>
      <c r="E457" s="7">
        <v>5</v>
      </c>
      <c r="F457" s="7"/>
      <c r="G457" s="7">
        <v>1376.66</v>
      </c>
      <c r="H457" s="7">
        <v>210.22</v>
      </c>
      <c r="I457" s="7">
        <v>824.62</v>
      </c>
      <c r="J457" s="7"/>
      <c r="K457" s="7">
        <v>6883</v>
      </c>
      <c r="L457" s="7">
        <v>1051</v>
      </c>
      <c r="M457" s="7">
        <v>4123</v>
      </c>
    </row>
    <row r="458" ht="18" customHeight="1" spans="1:13">
      <c r="A458" s="6" t="s">
        <v>181</v>
      </c>
      <c r="B458" s="6" t="s">
        <v>181</v>
      </c>
      <c r="C458" s="6" t="s">
        <v>819</v>
      </c>
      <c r="D458" s="5" t="s">
        <v>181</v>
      </c>
      <c r="E458" s="7"/>
      <c r="F458" s="7"/>
      <c r="G458" s="7"/>
      <c r="H458" s="7"/>
      <c r="I458" s="7"/>
      <c r="J458" s="7"/>
      <c r="K458" s="7"/>
      <c r="L458" s="7"/>
      <c r="M458" s="7"/>
    </row>
    <row r="459" ht="18" customHeight="1" spans="1:13">
      <c r="A459" s="6" t="s">
        <v>181</v>
      </c>
      <c r="B459" s="6" t="s">
        <v>820</v>
      </c>
      <c r="C459" s="6" t="s">
        <v>821</v>
      </c>
      <c r="D459" s="5" t="s">
        <v>439</v>
      </c>
      <c r="E459" s="7">
        <v>4</v>
      </c>
      <c r="F459" s="7"/>
      <c r="G459" s="7">
        <v>3253.8</v>
      </c>
      <c r="H459" s="7">
        <v>946.03</v>
      </c>
      <c r="I459" s="7">
        <v>1882.04</v>
      </c>
      <c r="J459" s="7"/>
      <c r="K459" s="7">
        <v>13015</v>
      </c>
      <c r="L459" s="7">
        <v>3784</v>
      </c>
      <c r="M459" s="7">
        <v>7528</v>
      </c>
    </row>
    <row r="460" ht="18" customHeight="1" spans="1:13">
      <c r="A460" s="6" t="s">
        <v>181</v>
      </c>
      <c r="B460" s="6" t="s">
        <v>181</v>
      </c>
      <c r="C460" s="6" t="s">
        <v>822</v>
      </c>
      <c r="D460" s="5" t="s">
        <v>181</v>
      </c>
      <c r="E460" s="7"/>
      <c r="F460" s="7"/>
      <c r="G460" s="7"/>
      <c r="H460" s="7"/>
      <c r="I460" s="7"/>
      <c r="J460" s="7"/>
      <c r="K460" s="7"/>
      <c r="L460" s="7"/>
      <c r="M460" s="7"/>
    </row>
    <row r="461" ht="18" customHeight="1" spans="1:13">
      <c r="A461" s="6" t="s">
        <v>181</v>
      </c>
      <c r="B461" s="6" t="s">
        <v>823</v>
      </c>
      <c r="C461" s="6" t="s">
        <v>824</v>
      </c>
      <c r="D461" s="5" t="s">
        <v>825</v>
      </c>
      <c r="E461" s="7">
        <v>1</v>
      </c>
      <c r="F461" s="7"/>
      <c r="G461" s="7">
        <v>2727.73</v>
      </c>
      <c r="H461" s="7">
        <v>1261.37</v>
      </c>
      <c r="I461" s="7">
        <v>1445.27</v>
      </c>
      <c r="J461" s="7"/>
      <c r="K461" s="7">
        <v>2728</v>
      </c>
      <c r="L461" s="7">
        <v>1261</v>
      </c>
      <c r="M461" s="7">
        <v>1445</v>
      </c>
    </row>
    <row r="462" ht="18" customHeight="1" spans="1:13">
      <c r="A462" s="6" t="s">
        <v>181</v>
      </c>
      <c r="B462" s="6" t="s">
        <v>826</v>
      </c>
      <c r="C462" s="6" t="s">
        <v>827</v>
      </c>
      <c r="D462" s="5" t="s">
        <v>374</v>
      </c>
      <c r="E462" s="7">
        <v>28.25</v>
      </c>
      <c r="F462" s="7"/>
      <c r="G462" s="7">
        <v>3000</v>
      </c>
      <c r="H462" s="7"/>
      <c r="I462" s="7"/>
      <c r="J462" s="7"/>
      <c r="K462" s="7">
        <v>84750</v>
      </c>
      <c r="L462" s="7"/>
      <c r="M462" s="7"/>
    </row>
    <row r="463" ht="18" customHeight="1" spans="1:13">
      <c r="A463" s="6" t="s">
        <v>181</v>
      </c>
      <c r="B463" s="6" t="s">
        <v>181</v>
      </c>
      <c r="C463" s="6" t="s">
        <v>828</v>
      </c>
      <c r="D463" s="5" t="s">
        <v>660</v>
      </c>
      <c r="E463" s="7">
        <v>8.05</v>
      </c>
      <c r="F463" s="7"/>
      <c r="G463" s="7">
        <v>319757.2</v>
      </c>
      <c r="H463" s="7">
        <v>138701.85</v>
      </c>
      <c r="I463" s="7">
        <v>181055.36</v>
      </c>
      <c r="J463" s="7"/>
      <c r="K463" s="7">
        <v>25740</v>
      </c>
      <c r="L463" s="7">
        <v>11165</v>
      </c>
      <c r="M463" s="7">
        <v>14575</v>
      </c>
    </row>
    <row r="464" ht="18" customHeight="1" spans="1:13">
      <c r="A464" s="6" t="s">
        <v>181</v>
      </c>
      <c r="B464" s="6" t="s">
        <v>181</v>
      </c>
      <c r="C464" s="6" t="s">
        <v>829</v>
      </c>
      <c r="D464" s="5" t="s">
        <v>660</v>
      </c>
      <c r="E464" s="7">
        <v>6.85</v>
      </c>
      <c r="F464" s="7"/>
      <c r="G464" s="7">
        <v>11312.28</v>
      </c>
      <c r="H464" s="7">
        <v>3784.12</v>
      </c>
      <c r="I464" s="7">
        <v>7528.16</v>
      </c>
      <c r="J464" s="7"/>
      <c r="K464" s="7">
        <v>775</v>
      </c>
      <c r="L464" s="7">
        <v>259</v>
      </c>
      <c r="M464" s="7">
        <v>516</v>
      </c>
    </row>
    <row r="465" ht="18" customHeight="1" spans="1:13">
      <c r="A465" s="6" t="s">
        <v>181</v>
      </c>
      <c r="B465" s="6" t="s">
        <v>181</v>
      </c>
      <c r="C465" s="6" t="s">
        <v>702</v>
      </c>
      <c r="D465" s="5" t="s">
        <v>181</v>
      </c>
      <c r="E465" s="7"/>
      <c r="F465" s="7"/>
      <c r="G465" s="7"/>
      <c r="H465" s="7"/>
      <c r="I465" s="7"/>
      <c r="J465" s="7">
        <v>3414</v>
      </c>
      <c r="K465" s="7"/>
      <c r="L465" s="7"/>
      <c r="M465" s="7"/>
    </row>
    <row r="466" ht="18" customHeight="1" spans="1:13">
      <c r="A466" s="6" t="s">
        <v>181</v>
      </c>
      <c r="B466" s="6" t="s">
        <v>181</v>
      </c>
      <c r="C466" s="6" t="s">
        <v>703</v>
      </c>
      <c r="D466" s="5" t="s">
        <v>181</v>
      </c>
      <c r="E466" s="7"/>
      <c r="F466" s="7"/>
      <c r="G466" s="7"/>
      <c r="H466" s="7"/>
      <c r="I466" s="7"/>
      <c r="J466" s="7">
        <v>1374670</v>
      </c>
      <c r="K466" s="7"/>
      <c r="L466" s="7"/>
      <c r="M466" s="7"/>
    </row>
    <row r="467" ht="18" customHeight="1" spans="1:13">
      <c r="A467" s="6" t="s">
        <v>181</v>
      </c>
      <c r="B467" s="6" t="s">
        <v>181</v>
      </c>
      <c r="C467" s="6" t="s">
        <v>562</v>
      </c>
      <c r="D467" s="5" t="s">
        <v>181</v>
      </c>
      <c r="E467" s="7"/>
      <c r="F467" s="7"/>
      <c r="G467" s="7"/>
      <c r="H467" s="7"/>
      <c r="I467" s="7"/>
      <c r="J467" s="7">
        <v>1374670</v>
      </c>
      <c r="K467" s="7">
        <v>481896</v>
      </c>
      <c r="L467" s="7">
        <v>156223</v>
      </c>
      <c r="M467" s="7">
        <v>209243</v>
      </c>
    </row>
    <row r="468" ht="18" customHeight="1" spans="1:13">
      <c r="A468" s="6" t="s">
        <v>181</v>
      </c>
      <c r="B468" s="6" t="s">
        <v>181</v>
      </c>
      <c r="C468" s="6" t="s">
        <v>181</v>
      </c>
      <c r="D468" s="5" t="s">
        <v>181</v>
      </c>
      <c r="E468" s="7"/>
      <c r="F468" s="7"/>
      <c r="G468" s="7"/>
      <c r="H468" s="7"/>
      <c r="I468" s="7"/>
      <c r="J468" s="7"/>
      <c r="K468" s="7"/>
      <c r="L468" s="7"/>
      <c r="M468" s="7"/>
    </row>
    <row r="469" ht="18" customHeight="1" spans="1:13">
      <c r="A469" s="6" t="s">
        <v>181</v>
      </c>
      <c r="B469" s="6" t="s">
        <v>354</v>
      </c>
      <c r="C469" s="6" t="s">
        <v>210</v>
      </c>
      <c r="D469" s="5" t="s">
        <v>181</v>
      </c>
      <c r="E469" s="7">
        <v>100</v>
      </c>
      <c r="F469" s="7"/>
      <c r="G469" s="7">
        <v>1875166.59</v>
      </c>
      <c r="H469" s="7"/>
      <c r="I469" s="7"/>
      <c r="J469" s="7"/>
      <c r="K469" s="7">
        <v>1875167</v>
      </c>
      <c r="L469" s="7"/>
      <c r="M469" s="7"/>
    </row>
    <row r="470" ht="18" customHeight="1" spans="1:13">
      <c r="A470" s="6" t="s">
        <v>181</v>
      </c>
      <c r="B470" s="6" t="s">
        <v>577</v>
      </c>
      <c r="C470" s="6" t="s">
        <v>578</v>
      </c>
      <c r="D470" s="5" t="s">
        <v>181</v>
      </c>
      <c r="E470" s="7">
        <v>100</v>
      </c>
      <c r="F470" s="7"/>
      <c r="G470" s="7">
        <v>1771816.55</v>
      </c>
      <c r="H470" s="7"/>
      <c r="I470" s="7"/>
      <c r="J470" s="7"/>
      <c r="K470" s="7">
        <v>1771817</v>
      </c>
      <c r="L470" s="7"/>
      <c r="M470" s="7"/>
    </row>
    <row r="471" ht="18" customHeight="1" spans="1:13">
      <c r="A471" s="6" t="s">
        <v>181</v>
      </c>
      <c r="B471" s="6" t="s">
        <v>579</v>
      </c>
      <c r="C471" s="6" t="s">
        <v>580</v>
      </c>
      <c r="D471" s="5" t="s">
        <v>181</v>
      </c>
      <c r="E471" s="7">
        <v>100</v>
      </c>
      <c r="F471" s="7"/>
      <c r="G471" s="7">
        <v>397146.41</v>
      </c>
      <c r="H471" s="7"/>
      <c r="I471" s="7"/>
      <c r="J471" s="7"/>
      <c r="K471" s="7">
        <v>397146</v>
      </c>
      <c r="L471" s="7"/>
      <c r="M471" s="7"/>
    </row>
    <row r="472" ht="18" customHeight="1" spans="1:13">
      <c r="A472" s="6" t="s">
        <v>181</v>
      </c>
      <c r="B472" s="6" t="s">
        <v>581</v>
      </c>
      <c r="C472" s="6" t="s">
        <v>582</v>
      </c>
      <c r="D472" s="5" t="s">
        <v>181</v>
      </c>
      <c r="E472" s="7">
        <v>100</v>
      </c>
      <c r="F472" s="7"/>
      <c r="G472" s="7">
        <v>156223.15</v>
      </c>
      <c r="H472" s="7"/>
      <c r="I472" s="7"/>
      <c r="J472" s="7"/>
      <c r="K472" s="7">
        <v>156223</v>
      </c>
      <c r="L472" s="7"/>
      <c r="M472" s="7"/>
    </row>
    <row r="473" ht="18" customHeight="1" spans="1:13">
      <c r="A473" s="6" t="s">
        <v>181</v>
      </c>
      <c r="B473" s="6" t="s">
        <v>583</v>
      </c>
      <c r="C473" s="6" t="s">
        <v>584</v>
      </c>
      <c r="D473" s="5" t="s">
        <v>181</v>
      </c>
      <c r="E473" s="7">
        <v>100</v>
      </c>
      <c r="F473" s="7"/>
      <c r="G473" s="7">
        <v>31680.74</v>
      </c>
      <c r="H473" s="7"/>
      <c r="I473" s="7"/>
      <c r="J473" s="7"/>
      <c r="K473" s="7">
        <v>31681</v>
      </c>
      <c r="L473" s="7"/>
      <c r="M473" s="7"/>
    </row>
    <row r="474" ht="30.6" customHeight="1" spans="1:13">
      <c r="A474" s="6" t="s">
        <v>181</v>
      </c>
      <c r="B474" s="6" t="s">
        <v>585</v>
      </c>
      <c r="C474" s="6" t="s">
        <v>586</v>
      </c>
      <c r="D474" s="5" t="s">
        <v>181</v>
      </c>
      <c r="E474" s="7">
        <v>100</v>
      </c>
      <c r="F474" s="7"/>
      <c r="G474" s="7">
        <v>209242.52</v>
      </c>
      <c r="H474" s="7"/>
      <c r="I474" s="7"/>
      <c r="J474" s="7"/>
      <c r="K474" s="7">
        <v>209243</v>
      </c>
      <c r="L474" s="7"/>
      <c r="M474" s="7"/>
    </row>
    <row r="475" ht="30.6" customHeight="1" spans="1:13">
      <c r="A475" s="6" t="s">
        <v>181</v>
      </c>
      <c r="B475" s="6" t="s">
        <v>587</v>
      </c>
      <c r="C475" s="6" t="s">
        <v>588</v>
      </c>
      <c r="D475" s="5" t="s">
        <v>181</v>
      </c>
      <c r="E475" s="7">
        <v>100</v>
      </c>
      <c r="F475" s="7"/>
      <c r="G475" s="7">
        <v>1374670.14</v>
      </c>
      <c r="H475" s="7"/>
      <c r="I475" s="7"/>
      <c r="J475" s="7"/>
      <c r="K475" s="7">
        <v>1374670</v>
      </c>
      <c r="L475" s="7"/>
      <c r="M475" s="7"/>
    </row>
    <row r="476" ht="30.6" customHeight="1" spans="1:13">
      <c r="A476" s="6" t="s">
        <v>181</v>
      </c>
      <c r="B476" s="6" t="s">
        <v>591</v>
      </c>
      <c r="C476" s="6" t="s">
        <v>592</v>
      </c>
      <c r="D476" s="5" t="s">
        <v>181</v>
      </c>
      <c r="E476" s="7">
        <v>100</v>
      </c>
      <c r="F476" s="7"/>
      <c r="G476" s="7">
        <v>1374670.14</v>
      </c>
      <c r="H476" s="7"/>
      <c r="I476" s="7"/>
      <c r="J476" s="7"/>
      <c r="K476" s="7">
        <v>1374670</v>
      </c>
      <c r="L476" s="7"/>
      <c r="M476" s="7"/>
    </row>
    <row r="477" ht="30.6" customHeight="1" spans="1:13">
      <c r="A477" s="6" t="s">
        <v>181</v>
      </c>
      <c r="B477" s="6" t="s">
        <v>593</v>
      </c>
      <c r="C477" s="6" t="s">
        <v>258</v>
      </c>
      <c r="D477" s="5" t="s">
        <v>181</v>
      </c>
      <c r="E477" s="7">
        <v>100</v>
      </c>
      <c r="F477" s="7"/>
      <c r="G477" s="7">
        <v>103350.04</v>
      </c>
      <c r="H477" s="7"/>
      <c r="I477" s="7"/>
      <c r="J477" s="7"/>
      <c r="K477" s="7">
        <v>103350</v>
      </c>
      <c r="L477" s="7"/>
      <c r="M477" s="7"/>
    </row>
    <row r="478" ht="30.6" customHeight="1" spans="1:13">
      <c r="A478" s="6" t="s">
        <v>181</v>
      </c>
      <c r="B478" s="6" t="s">
        <v>594</v>
      </c>
      <c r="C478" s="6" t="s">
        <v>595</v>
      </c>
      <c r="D478" s="5" t="s">
        <v>181</v>
      </c>
      <c r="E478" s="7">
        <v>3.57</v>
      </c>
      <c r="F478" s="7"/>
      <c r="G478" s="7">
        <v>156223.15</v>
      </c>
      <c r="H478" s="7"/>
      <c r="I478" s="7"/>
      <c r="J478" s="7"/>
      <c r="K478" s="7">
        <v>5577</v>
      </c>
      <c r="L478" s="7"/>
      <c r="M478" s="7"/>
    </row>
    <row r="479" ht="18" customHeight="1" spans="1:13">
      <c r="A479" s="6" t="s">
        <v>181</v>
      </c>
      <c r="B479" s="6" t="s">
        <v>598</v>
      </c>
      <c r="C479" s="6" t="s">
        <v>599</v>
      </c>
      <c r="D479" s="5" t="s">
        <v>181</v>
      </c>
      <c r="E479" s="7">
        <v>3.82</v>
      </c>
      <c r="F479" s="7"/>
      <c r="G479" s="7">
        <v>156223.15</v>
      </c>
      <c r="H479" s="7"/>
      <c r="I479" s="7"/>
      <c r="J479" s="7"/>
      <c r="K479" s="7">
        <v>5968</v>
      </c>
      <c r="L479" s="7"/>
      <c r="M479" s="7"/>
    </row>
    <row r="480" ht="18" customHeight="1" spans="1:13">
      <c r="A480" s="6" t="s">
        <v>181</v>
      </c>
      <c r="B480" s="6" t="s">
        <v>602</v>
      </c>
      <c r="C480" s="6" t="s">
        <v>76</v>
      </c>
      <c r="D480" s="5" t="s">
        <v>181</v>
      </c>
      <c r="E480" s="7">
        <v>6.35</v>
      </c>
      <c r="F480" s="7"/>
      <c r="G480" s="7">
        <v>397146.41</v>
      </c>
      <c r="H480" s="7"/>
      <c r="I480" s="7"/>
      <c r="J480" s="7"/>
      <c r="K480" s="7">
        <v>25219</v>
      </c>
      <c r="L480" s="7"/>
      <c r="M480" s="7"/>
    </row>
    <row r="481" ht="18" customHeight="1" spans="1:13">
      <c r="A481" s="6" t="s">
        <v>181</v>
      </c>
      <c r="B481" s="6" t="s">
        <v>603</v>
      </c>
      <c r="C481" s="6" t="s">
        <v>604</v>
      </c>
      <c r="D481" s="5" t="s">
        <v>181</v>
      </c>
      <c r="E481" s="7">
        <v>2.36</v>
      </c>
      <c r="F481" s="7"/>
      <c r="G481" s="7">
        <v>156223.15</v>
      </c>
      <c r="H481" s="7"/>
      <c r="I481" s="7"/>
      <c r="J481" s="7"/>
      <c r="K481" s="7">
        <v>3687</v>
      </c>
      <c r="L481" s="7"/>
      <c r="M481" s="7"/>
    </row>
    <row r="482" ht="18" customHeight="1" spans="1:13">
      <c r="A482" s="6" t="s">
        <v>181</v>
      </c>
      <c r="B482" s="6" t="s">
        <v>605</v>
      </c>
      <c r="C482" s="6" t="s">
        <v>213</v>
      </c>
      <c r="D482" s="5" t="s">
        <v>181</v>
      </c>
      <c r="E482" s="7">
        <v>3.55</v>
      </c>
      <c r="F482" s="7"/>
      <c r="G482" s="7">
        <v>1771816.55</v>
      </c>
      <c r="H482" s="7"/>
      <c r="I482" s="7"/>
      <c r="J482" s="7"/>
      <c r="K482" s="7">
        <v>62899</v>
      </c>
      <c r="L482" s="7"/>
      <c r="M482" s="7"/>
    </row>
    <row r="483" ht="18" customHeight="1" spans="1:13">
      <c r="A483" s="6" t="s">
        <v>181</v>
      </c>
      <c r="B483" s="6" t="s">
        <v>606</v>
      </c>
      <c r="C483" s="6" t="s">
        <v>607</v>
      </c>
      <c r="D483" s="5" t="s">
        <v>181</v>
      </c>
      <c r="E483" s="7">
        <v>100</v>
      </c>
      <c r="F483" s="7"/>
      <c r="G483" s="7">
        <v>118307.33</v>
      </c>
      <c r="H483" s="7"/>
      <c r="I483" s="7"/>
      <c r="J483" s="7"/>
      <c r="K483" s="7">
        <v>118307</v>
      </c>
      <c r="L483" s="7"/>
      <c r="M483" s="7"/>
    </row>
    <row r="484" ht="18" customHeight="1" spans="1:13">
      <c r="A484" s="6" t="s">
        <v>181</v>
      </c>
      <c r="B484" s="6" t="s">
        <v>577</v>
      </c>
      <c r="C484" s="6" t="s">
        <v>608</v>
      </c>
      <c r="D484" s="5" t="s">
        <v>181</v>
      </c>
      <c r="E484" s="7">
        <v>100</v>
      </c>
      <c r="F484" s="7"/>
      <c r="G484" s="7">
        <v>58232.18</v>
      </c>
      <c r="H484" s="7"/>
      <c r="I484" s="7"/>
      <c r="J484" s="7"/>
      <c r="K484" s="7">
        <v>58232</v>
      </c>
      <c r="L484" s="7"/>
      <c r="M484" s="7"/>
    </row>
    <row r="485" ht="18" customHeight="1" spans="1:13">
      <c r="A485" s="6" t="s">
        <v>181</v>
      </c>
      <c r="B485" s="6" t="s">
        <v>579</v>
      </c>
      <c r="C485" s="6" t="s">
        <v>609</v>
      </c>
      <c r="D485" s="5" t="s">
        <v>181</v>
      </c>
      <c r="E485" s="7">
        <v>23.5</v>
      </c>
      <c r="F485" s="7"/>
      <c r="G485" s="7">
        <v>164034.3</v>
      </c>
      <c r="H485" s="7"/>
      <c r="I485" s="7"/>
      <c r="J485" s="7"/>
      <c r="K485" s="7">
        <v>38548</v>
      </c>
      <c r="L485" s="7"/>
      <c r="M485" s="7"/>
    </row>
    <row r="486" ht="18" customHeight="1" spans="1:13">
      <c r="A486" s="6" t="s">
        <v>181</v>
      </c>
      <c r="B486" s="6" t="s">
        <v>587</v>
      </c>
      <c r="C486" s="6" t="s">
        <v>610</v>
      </c>
      <c r="D486" s="5" t="s">
        <v>181</v>
      </c>
      <c r="E486" s="7">
        <v>12</v>
      </c>
      <c r="F486" s="7"/>
      <c r="G486" s="7">
        <v>164034.3</v>
      </c>
      <c r="H486" s="7"/>
      <c r="I486" s="7"/>
      <c r="J486" s="7"/>
      <c r="K486" s="7">
        <v>19684</v>
      </c>
      <c r="L486" s="7"/>
      <c r="M486" s="7"/>
    </row>
    <row r="487" ht="18" customHeight="1" spans="1:13">
      <c r="A487" s="6" t="s">
        <v>181</v>
      </c>
      <c r="B487" s="6" t="s">
        <v>593</v>
      </c>
      <c r="C487" s="6" t="s">
        <v>611</v>
      </c>
      <c r="D487" s="5" t="s">
        <v>181</v>
      </c>
      <c r="E487" s="7">
        <v>35.76</v>
      </c>
      <c r="F487" s="7"/>
      <c r="G487" s="7">
        <v>156223.15</v>
      </c>
      <c r="H487" s="7"/>
      <c r="I487" s="7"/>
      <c r="J487" s="7"/>
      <c r="K487" s="7">
        <v>55865</v>
      </c>
      <c r="L487" s="7"/>
      <c r="M487" s="7"/>
    </row>
    <row r="488" ht="18" customHeight="1" spans="1:13">
      <c r="A488" s="6" t="s">
        <v>181</v>
      </c>
      <c r="B488" s="6" t="s">
        <v>612</v>
      </c>
      <c r="C488" s="6" t="s">
        <v>613</v>
      </c>
      <c r="D488" s="5" t="s">
        <v>181</v>
      </c>
      <c r="E488" s="7">
        <v>1.06</v>
      </c>
      <c r="F488" s="7"/>
      <c r="G488" s="7">
        <v>397146.41</v>
      </c>
      <c r="H488" s="7"/>
      <c r="I488" s="7"/>
      <c r="J488" s="7"/>
      <c r="K488" s="7">
        <v>4210</v>
      </c>
      <c r="L488" s="7"/>
      <c r="M488" s="7"/>
    </row>
    <row r="489" ht="18" customHeight="1" spans="1:13">
      <c r="A489" s="6" t="s">
        <v>181</v>
      </c>
      <c r="B489" s="6" t="s">
        <v>614</v>
      </c>
      <c r="C489" s="6" t="s">
        <v>615</v>
      </c>
      <c r="D489" s="5" t="s">
        <v>181</v>
      </c>
      <c r="E489" s="7">
        <v>5</v>
      </c>
      <c r="F489" s="7"/>
      <c r="G489" s="7">
        <v>1993473.92</v>
      </c>
      <c r="H489" s="7"/>
      <c r="I489" s="7"/>
      <c r="J489" s="7"/>
      <c r="K489" s="7">
        <v>99674</v>
      </c>
      <c r="L489" s="7"/>
      <c r="M489" s="7"/>
    </row>
    <row r="490" ht="18" customHeight="1" spans="1:13">
      <c r="A490" s="6" t="s">
        <v>181</v>
      </c>
      <c r="B490" s="6" t="s">
        <v>616</v>
      </c>
      <c r="C490" s="6" t="s">
        <v>617</v>
      </c>
      <c r="D490" s="5" t="s">
        <v>181</v>
      </c>
      <c r="E490" s="7">
        <v>100</v>
      </c>
      <c r="F490" s="7"/>
      <c r="G490" s="7">
        <v>524178.84</v>
      </c>
      <c r="H490" s="7"/>
      <c r="I490" s="7"/>
      <c r="J490" s="7"/>
      <c r="K490" s="7">
        <v>524179</v>
      </c>
      <c r="L490" s="7"/>
      <c r="M490" s="7"/>
    </row>
    <row r="491" ht="18" customHeight="1" spans="1:13">
      <c r="A491" s="6" t="s">
        <v>181</v>
      </c>
      <c r="B491" s="6" t="s">
        <v>577</v>
      </c>
      <c r="C491" s="6" t="s">
        <v>618</v>
      </c>
      <c r="D491" s="5" t="s">
        <v>181</v>
      </c>
      <c r="E491" s="7">
        <v>100</v>
      </c>
      <c r="F491" s="7"/>
      <c r="G491" s="7">
        <v>16637.77</v>
      </c>
      <c r="H491" s="7"/>
      <c r="I491" s="7"/>
      <c r="J491" s="7"/>
      <c r="K491" s="7">
        <v>16638</v>
      </c>
      <c r="L491" s="7"/>
      <c r="M491" s="7"/>
    </row>
    <row r="492" ht="18" customHeight="1" spans="1:13">
      <c r="A492" s="6" t="s">
        <v>181</v>
      </c>
      <c r="B492" s="6" t="s">
        <v>593</v>
      </c>
      <c r="C492" s="6" t="s">
        <v>619</v>
      </c>
      <c r="D492" s="5" t="s">
        <v>181</v>
      </c>
      <c r="E492" s="7">
        <v>100</v>
      </c>
      <c r="F492" s="7"/>
      <c r="G492" s="7">
        <v>1618.89</v>
      </c>
      <c r="H492" s="7"/>
      <c r="I492" s="7"/>
      <c r="J492" s="7"/>
      <c r="K492" s="7">
        <v>1619</v>
      </c>
      <c r="L492" s="7"/>
      <c r="M492" s="7"/>
    </row>
    <row r="493" ht="18" customHeight="1" spans="1:13">
      <c r="A493" s="6" t="s">
        <v>181</v>
      </c>
      <c r="B493" s="6" t="s">
        <v>612</v>
      </c>
      <c r="C493" s="6" t="s">
        <v>620</v>
      </c>
      <c r="D493" s="5" t="s">
        <v>181</v>
      </c>
      <c r="E493" s="7">
        <v>100</v>
      </c>
      <c r="F493" s="7"/>
      <c r="G493" s="7">
        <v>10692.29</v>
      </c>
      <c r="H493" s="7"/>
      <c r="I493" s="7"/>
      <c r="J493" s="7"/>
      <c r="K493" s="7">
        <v>10692</v>
      </c>
      <c r="L493" s="7"/>
      <c r="M493" s="7"/>
    </row>
    <row r="494" ht="18" customHeight="1" spans="1:13">
      <c r="A494" s="6" t="s">
        <v>181</v>
      </c>
      <c r="B494" s="6" t="s">
        <v>621</v>
      </c>
      <c r="C494" s="6" t="s">
        <v>622</v>
      </c>
      <c r="D494" s="5" t="s">
        <v>181</v>
      </c>
      <c r="E494" s="7">
        <v>100</v>
      </c>
      <c r="F494" s="7"/>
      <c r="G494" s="7">
        <v>495229.9</v>
      </c>
      <c r="H494" s="7"/>
      <c r="I494" s="7"/>
      <c r="J494" s="7"/>
      <c r="K494" s="7">
        <v>495230</v>
      </c>
      <c r="L494" s="7"/>
      <c r="M494" s="7"/>
    </row>
    <row r="495" ht="18" customHeight="1" spans="1:13">
      <c r="A495" s="6" t="s">
        <v>181</v>
      </c>
      <c r="B495" s="6" t="s">
        <v>625</v>
      </c>
      <c r="C495" s="6" t="s">
        <v>626</v>
      </c>
      <c r="D495" s="5" t="s">
        <v>181</v>
      </c>
      <c r="E495" s="7">
        <v>100</v>
      </c>
      <c r="F495" s="7"/>
      <c r="G495" s="7">
        <v>495229.9</v>
      </c>
      <c r="H495" s="7"/>
      <c r="I495" s="7"/>
      <c r="J495" s="7"/>
      <c r="K495" s="7">
        <v>495230</v>
      </c>
      <c r="L495" s="7"/>
      <c r="M495" s="7"/>
    </row>
    <row r="496" ht="18" customHeight="1" spans="1:13">
      <c r="A496" s="6" t="s">
        <v>181</v>
      </c>
      <c r="B496" s="6" t="s">
        <v>627</v>
      </c>
      <c r="C496" s="6" t="s">
        <v>216</v>
      </c>
      <c r="D496" s="5" t="s">
        <v>181</v>
      </c>
      <c r="E496" s="7">
        <v>9</v>
      </c>
      <c r="F496" s="7"/>
      <c r="G496" s="7">
        <v>2617326.45</v>
      </c>
      <c r="H496" s="7"/>
      <c r="I496" s="7"/>
      <c r="J496" s="7"/>
      <c r="K496" s="7">
        <v>235559</v>
      </c>
      <c r="L496" s="7"/>
      <c r="M496" s="7"/>
    </row>
    <row r="497" ht="18" customHeight="1" spans="1:13">
      <c r="A497" s="6" t="s">
        <v>181</v>
      </c>
      <c r="B497" s="6" t="s">
        <v>662</v>
      </c>
      <c r="C497" s="6" t="s">
        <v>640</v>
      </c>
      <c r="D497" s="5" t="s">
        <v>181</v>
      </c>
      <c r="E497" s="7">
        <v>100</v>
      </c>
      <c r="F497" s="7"/>
      <c r="G497" s="7">
        <v>1067735.8</v>
      </c>
      <c r="H497" s="7"/>
      <c r="I497" s="7"/>
      <c r="J497" s="7"/>
      <c r="K497" s="7">
        <v>1067736</v>
      </c>
      <c r="L497" s="7"/>
      <c r="M497" s="7"/>
    </row>
    <row r="498" ht="18" customHeight="1" spans="1:13">
      <c r="A498" s="6" t="s">
        <v>181</v>
      </c>
      <c r="B498" s="6" t="s">
        <v>704</v>
      </c>
      <c r="C498" s="6" t="s">
        <v>705</v>
      </c>
      <c r="D498" s="5" t="s">
        <v>181</v>
      </c>
      <c r="E498" s="7">
        <v>100</v>
      </c>
      <c r="F498" s="7"/>
      <c r="G498" s="7">
        <v>1869900.04</v>
      </c>
      <c r="H498" s="7"/>
      <c r="I498" s="7"/>
      <c r="J498" s="7"/>
      <c r="K498" s="7">
        <v>1869900</v>
      </c>
      <c r="L498" s="7"/>
      <c r="M498" s="7"/>
    </row>
    <row r="499" ht="18" customHeight="1" spans="1:13">
      <c r="A499" s="6" t="s">
        <v>181</v>
      </c>
      <c r="B499" s="6" t="s">
        <v>631</v>
      </c>
      <c r="C499" s="6" t="s">
        <v>100</v>
      </c>
      <c r="D499" s="5" t="s">
        <v>181</v>
      </c>
      <c r="E499" s="7">
        <v>100</v>
      </c>
      <c r="F499" s="7"/>
      <c r="G499" s="7">
        <v>2937635.84</v>
      </c>
      <c r="H499" s="7"/>
      <c r="I499" s="7"/>
      <c r="J499" s="7"/>
      <c r="K499" s="7">
        <v>2937636</v>
      </c>
      <c r="L499" s="7"/>
      <c r="M499" s="7"/>
    </row>
    <row r="500" ht="18" customHeight="1" spans="1:13">
      <c r="A500" s="6" t="s">
        <v>181</v>
      </c>
      <c r="B500" s="6" t="s">
        <v>663</v>
      </c>
      <c r="C500" s="6" t="s">
        <v>173</v>
      </c>
      <c r="D500" s="5" t="s">
        <v>181</v>
      </c>
      <c r="E500" s="7">
        <v>100</v>
      </c>
      <c r="F500" s="7"/>
      <c r="G500" s="7">
        <v>2937635.84</v>
      </c>
      <c r="H500" s="7"/>
      <c r="I500" s="7"/>
      <c r="J500" s="7"/>
      <c r="K500" s="7">
        <v>2937636</v>
      </c>
      <c r="L500" s="7"/>
      <c r="M500" s="7"/>
    </row>
    <row r="501" ht="18" customHeight="1" spans="1:13">
      <c r="A501" s="6" t="s">
        <v>181</v>
      </c>
      <c r="B501" s="6" t="s">
        <v>181</v>
      </c>
      <c r="C501" s="6" t="s">
        <v>181</v>
      </c>
      <c r="D501" s="5" t="s">
        <v>181</v>
      </c>
      <c r="E501" s="7"/>
      <c r="F501" s="7"/>
      <c r="G501" s="7"/>
      <c r="H501" s="7"/>
      <c r="I501" s="7"/>
      <c r="J501" s="7"/>
      <c r="K501" s="7"/>
      <c r="L501" s="7"/>
      <c r="M501" s="7"/>
    </row>
    <row r="502" ht="18" customHeight="1" spans="1:13">
      <c r="A502" s="6" t="s">
        <v>830</v>
      </c>
      <c r="B502" s="6" t="s">
        <v>181</v>
      </c>
      <c r="C502" s="6" t="s">
        <v>831</v>
      </c>
      <c r="D502" s="5" t="s">
        <v>181</v>
      </c>
      <c r="E502" s="7"/>
      <c r="F502" s="7"/>
      <c r="G502" s="7"/>
      <c r="H502" s="7"/>
      <c r="I502" s="7"/>
      <c r="J502" s="7"/>
      <c r="K502" s="7">
        <v>164627</v>
      </c>
      <c r="L502" s="7">
        <v>51592</v>
      </c>
      <c r="M502" s="7">
        <v>5831</v>
      </c>
    </row>
    <row r="503" ht="18" customHeight="1" spans="1:13">
      <c r="A503" s="6" t="s">
        <v>181</v>
      </c>
      <c r="B503" s="6" t="s">
        <v>181</v>
      </c>
      <c r="C503" s="6" t="s">
        <v>832</v>
      </c>
      <c r="D503" s="5" t="s">
        <v>181</v>
      </c>
      <c r="E503" s="7"/>
      <c r="F503" s="7"/>
      <c r="G503" s="7"/>
      <c r="H503" s="7"/>
      <c r="I503" s="7"/>
      <c r="J503" s="7"/>
      <c r="K503" s="7"/>
      <c r="L503" s="7"/>
      <c r="M503" s="7"/>
    </row>
    <row r="504" ht="18" customHeight="1" spans="1:13">
      <c r="A504" s="6" t="s">
        <v>181</v>
      </c>
      <c r="B504" s="6" t="s">
        <v>833</v>
      </c>
      <c r="C504" s="6" t="s">
        <v>834</v>
      </c>
      <c r="D504" s="5" t="s">
        <v>410</v>
      </c>
      <c r="E504" s="7">
        <v>8</v>
      </c>
      <c r="F504" s="7"/>
      <c r="G504" s="7">
        <v>2743.39</v>
      </c>
      <c r="H504" s="7">
        <v>2005.09</v>
      </c>
      <c r="I504" s="7">
        <v>244.71</v>
      </c>
      <c r="J504" s="7"/>
      <c r="K504" s="7">
        <v>21947</v>
      </c>
      <c r="L504" s="7">
        <v>16041</v>
      </c>
      <c r="M504" s="7">
        <v>1958</v>
      </c>
    </row>
    <row r="505" ht="18" customHeight="1" spans="1:13">
      <c r="A505" s="6" t="s">
        <v>181</v>
      </c>
      <c r="B505" s="6" t="s">
        <v>835</v>
      </c>
      <c r="C505" s="6" t="s">
        <v>836</v>
      </c>
      <c r="D505" s="5" t="s">
        <v>410</v>
      </c>
      <c r="E505" s="7">
        <v>12</v>
      </c>
      <c r="F505" s="7"/>
      <c r="G505" s="7">
        <v>2060.39</v>
      </c>
      <c r="H505" s="7">
        <v>1717.93</v>
      </c>
      <c r="I505" s="7">
        <v>184.22</v>
      </c>
      <c r="J505" s="7"/>
      <c r="K505" s="7">
        <v>24725</v>
      </c>
      <c r="L505" s="7">
        <v>20615</v>
      </c>
      <c r="M505" s="7">
        <v>2211</v>
      </c>
    </row>
    <row r="506" ht="18" customHeight="1" spans="1:13">
      <c r="A506" s="6" t="s">
        <v>181</v>
      </c>
      <c r="B506" s="6" t="s">
        <v>837</v>
      </c>
      <c r="C506" s="6" t="s">
        <v>838</v>
      </c>
      <c r="D506" s="5" t="s">
        <v>410</v>
      </c>
      <c r="E506" s="7">
        <v>5</v>
      </c>
      <c r="F506" s="7"/>
      <c r="G506" s="7">
        <v>1297.99</v>
      </c>
      <c r="H506" s="7">
        <v>939.8</v>
      </c>
      <c r="I506" s="7">
        <v>207.08</v>
      </c>
      <c r="J506" s="7"/>
      <c r="K506" s="7">
        <v>6490</v>
      </c>
      <c r="L506" s="7">
        <v>4699</v>
      </c>
      <c r="M506" s="7">
        <v>1035</v>
      </c>
    </row>
    <row r="507" ht="18" customHeight="1" spans="1:13">
      <c r="A507" s="6" t="s">
        <v>181</v>
      </c>
      <c r="B507" s="6" t="s">
        <v>181</v>
      </c>
      <c r="C507" s="6" t="s">
        <v>839</v>
      </c>
      <c r="D507" s="5" t="s">
        <v>181</v>
      </c>
      <c r="E507" s="7"/>
      <c r="F507" s="7"/>
      <c r="G507" s="7"/>
      <c r="H507" s="7"/>
      <c r="I507" s="7"/>
      <c r="J507" s="7"/>
      <c r="K507" s="7"/>
      <c r="L507" s="7"/>
      <c r="M507" s="7"/>
    </row>
    <row r="508" ht="18" customHeight="1" spans="1:13">
      <c r="A508" s="6" t="s">
        <v>181</v>
      </c>
      <c r="B508" s="6" t="s">
        <v>840</v>
      </c>
      <c r="C508" s="6" t="s">
        <v>841</v>
      </c>
      <c r="D508" s="5" t="s">
        <v>410</v>
      </c>
      <c r="E508" s="7">
        <v>12</v>
      </c>
      <c r="F508" s="7"/>
      <c r="G508" s="7">
        <v>2650.09</v>
      </c>
      <c r="H508" s="7">
        <v>853.1</v>
      </c>
      <c r="I508" s="7">
        <v>52.29</v>
      </c>
      <c r="J508" s="7"/>
      <c r="K508" s="7">
        <v>31801</v>
      </c>
      <c r="L508" s="7">
        <v>10237</v>
      </c>
      <c r="M508" s="7">
        <v>627</v>
      </c>
    </row>
    <row r="509" ht="18" customHeight="1" spans="1:13">
      <c r="A509" s="6" t="s">
        <v>181</v>
      </c>
      <c r="B509" s="6" t="s">
        <v>181</v>
      </c>
      <c r="C509" s="6" t="s">
        <v>562</v>
      </c>
      <c r="D509" s="5" t="s">
        <v>181</v>
      </c>
      <c r="E509" s="7"/>
      <c r="F509" s="7"/>
      <c r="G509" s="7"/>
      <c r="H509" s="7"/>
      <c r="I509" s="7"/>
      <c r="J509" s="7"/>
      <c r="K509" s="7">
        <v>84963</v>
      </c>
      <c r="L509" s="7">
        <v>51592</v>
      </c>
      <c r="M509" s="7">
        <v>5831</v>
      </c>
    </row>
    <row r="510" ht="18" customHeight="1" spans="1:13">
      <c r="A510" s="6" t="s">
        <v>181</v>
      </c>
      <c r="B510" s="6" t="s">
        <v>181</v>
      </c>
      <c r="C510" s="6" t="s">
        <v>181</v>
      </c>
      <c r="D510" s="5" t="s">
        <v>181</v>
      </c>
      <c r="E510" s="7"/>
      <c r="F510" s="7"/>
      <c r="G510" s="7"/>
      <c r="H510" s="7"/>
      <c r="I510" s="7"/>
      <c r="J510" s="7"/>
      <c r="K510" s="7"/>
      <c r="L510" s="7"/>
      <c r="M510" s="7"/>
    </row>
    <row r="511" ht="30.6" customHeight="1" spans="1:13">
      <c r="A511" s="6" t="s">
        <v>181</v>
      </c>
      <c r="B511" s="6" t="s">
        <v>354</v>
      </c>
      <c r="C511" s="6" t="s">
        <v>210</v>
      </c>
      <c r="D511" s="5" t="s">
        <v>181</v>
      </c>
      <c r="E511" s="7">
        <v>100</v>
      </c>
      <c r="F511" s="7"/>
      <c r="G511" s="7">
        <v>98404.38</v>
      </c>
      <c r="H511" s="7"/>
      <c r="I511" s="7"/>
      <c r="J511" s="7"/>
      <c r="K511" s="7">
        <v>98404</v>
      </c>
      <c r="L511" s="7"/>
      <c r="M511" s="7"/>
    </row>
    <row r="512" ht="44.1" customHeight="1" spans="1:13">
      <c r="A512" s="6" t="s">
        <v>181</v>
      </c>
      <c r="B512" s="6" t="s">
        <v>577</v>
      </c>
      <c r="C512" s="6" t="s">
        <v>578</v>
      </c>
      <c r="D512" s="5" t="s">
        <v>181</v>
      </c>
      <c r="E512" s="7">
        <v>100</v>
      </c>
      <c r="F512" s="7"/>
      <c r="G512" s="7">
        <v>84962.83</v>
      </c>
      <c r="H512" s="7"/>
      <c r="I512" s="7"/>
      <c r="J512" s="7"/>
      <c r="K512" s="7">
        <v>84963</v>
      </c>
      <c r="L512" s="7"/>
      <c r="M512" s="7"/>
    </row>
    <row r="513" ht="18" customHeight="1" spans="1:13">
      <c r="A513" s="6" t="s">
        <v>181</v>
      </c>
      <c r="B513" s="6" t="s">
        <v>579</v>
      </c>
      <c r="C513" s="6" t="s">
        <v>580</v>
      </c>
      <c r="D513" s="5" t="s">
        <v>181</v>
      </c>
      <c r="E513" s="7">
        <v>100</v>
      </c>
      <c r="F513" s="7"/>
      <c r="G513" s="7">
        <v>84962.83</v>
      </c>
      <c r="H513" s="7"/>
      <c r="I513" s="7"/>
      <c r="J513" s="7"/>
      <c r="K513" s="7">
        <v>84963</v>
      </c>
      <c r="L513" s="7"/>
      <c r="M513" s="7"/>
    </row>
    <row r="514" ht="30.6" customHeight="1" spans="1:13">
      <c r="A514" s="6" t="s">
        <v>181</v>
      </c>
      <c r="B514" s="6" t="s">
        <v>581</v>
      </c>
      <c r="C514" s="6" t="s">
        <v>582</v>
      </c>
      <c r="D514" s="5" t="s">
        <v>181</v>
      </c>
      <c r="E514" s="7">
        <v>100</v>
      </c>
      <c r="F514" s="7"/>
      <c r="G514" s="7">
        <v>51592.08</v>
      </c>
      <c r="H514" s="7"/>
      <c r="I514" s="7"/>
      <c r="J514" s="7"/>
      <c r="K514" s="7">
        <v>51592</v>
      </c>
      <c r="L514" s="7"/>
      <c r="M514" s="7"/>
    </row>
    <row r="515" ht="30.6" customHeight="1" spans="1:13">
      <c r="A515" s="6" t="s">
        <v>181</v>
      </c>
      <c r="B515" s="6" t="s">
        <v>583</v>
      </c>
      <c r="C515" s="6" t="s">
        <v>584</v>
      </c>
      <c r="D515" s="5" t="s">
        <v>181</v>
      </c>
      <c r="E515" s="7">
        <v>100</v>
      </c>
      <c r="F515" s="7"/>
      <c r="G515" s="7">
        <v>27539.55</v>
      </c>
      <c r="H515" s="7"/>
      <c r="I515" s="7"/>
      <c r="J515" s="7"/>
      <c r="K515" s="7">
        <v>27540</v>
      </c>
      <c r="L515" s="7"/>
      <c r="M515" s="7"/>
    </row>
    <row r="516" ht="18" customHeight="1" spans="1:13">
      <c r="A516" s="6" t="s">
        <v>181</v>
      </c>
      <c r="B516" s="6" t="s">
        <v>585</v>
      </c>
      <c r="C516" s="6" t="s">
        <v>586</v>
      </c>
      <c r="D516" s="5" t="s">
        <v>181</v>
      </c>
      <c r="E516" s="7">
        <v>100</v>
      </c>
      <c r="F516" s="7"/>
      <c r="G516" s="7">
        <v>5831.2</v>
      </c>
      <c r="H516" s="7"/>
      <c r="I516" s="7"/>
      <c r="J516" s="7"/>
      <c r="K516" s="7">
        <v>5831</v>
      </c>
      <c r="L516" s="7"/>
      <c r="M516" s="7"/>
    </row>
    <row r="517" ht="18" customHeight="1" spans="1:13">
      <c r="A517" s="6" t="s">
        <v>181</v>
      </c>
      <c r="B517" s="6" t="s">
        <v>593</v>
      </c>
      <c r="C517" s="6" t="s">
        <v>258</v>
      </c>
      <c r="D517" s="5" t="s">
        <v>181</v>
      </c>
      <c r="E517" s="7">
        <v>100</v>
      </c>
      <c r="F517" s="7"/>
      <c r="G517" s="7">
        <v>13441.55</v>
      </c>
      <c r="H517" s="7"/>
      <c r="I517" s="7"/>
      <c r="J517" s="7"/>
      <c r="K517" s="7">
        <v>13442</v>
      </c>
      <c r="L517" s="7"/>
      <c r="M517" s="7"/>
    </row>
    <row r="518" ht="18" customHeight="1" spans="1:13">
      <c r="A518" s="6" t="s">
        <v>181</v>
      </c>
      <c r="B518" s="6" t="s">
        <v>594</v>
      </c>
      <c r="C518" s="6" t="s">
        <v>595</v>
      </c>
      <c r="D518" s="5" t="s">
        <v>181</v>
      </c>
      <c r="E518" s="7">
        <v>3.57</v>
      </c>
      <c r="F518" s="7"/>
      <c r="G518" s="7">
        <v>51592.08</v>
      </c>
      <c r="H518" s="7"/>
      <c r="I518" s="7"/>
      <c r="J518" s="7"/>
      <c r="K518" s="7">
        <v>1842</v>
      </c>
      <c r="L518" s="7"/>
      <c r="M518" s="7"/>
    </row>
    <row r="519" ht="18" customHeight="1" spans="1:13">
      <c r="A519" s="6" t="s">
        <v>181</v>
      </c>
      <c r="B519" s="6" t="s">
        <v>598</v>
      </c>
      <c r="C519" s="6" t="s">
        <v>599</v>
      </c>
      <c r="D519" s="5" t="s">
        <v>181</v>
      </c>
      <c r="E519" s="7">
        <v>3.82</v>
      </c>
      <c r="F519" s="7"/>
      <c r="G519" s="7">
        <v>51592.08</v>
      </c>
      <c r="H519" s="7"/>
      <c r="I519" s="7"/>
      <c r="J519" s="7"/>
      <c r="K519" s="7">
        <v>1971</v>
      </c>
      <c r="L519" s="7"/>
      <c r="M519" s="7"/>
    </row>
    <row r="520" ht="18" customHeight="1" spans="1:13">
      <c r="A520" s="6" t="s">
        <v>181</v>
      </c>
      <c r="B520" s="6" t="s">
        <v>602</v>
      </c>
      <c r="C520" s="6" t="s">
        <v>76</v>
      </c>
      <c r="D520" s="5" t="s">
        <v>181</v>
      </c>
      <c r="E520" s="7">
        <v>6.35</v>
      </c>
      <c r="F520" s="7"/>
      <c r="G520" s="7">
        <v>84962.83</v>
      </c>
      <c r="H520" s="7"/>
      <c r="I520" s="7"/>
      <c r="J520" s="7"/>
      <c r="K520" s="7">
        <v>5395</v>
      </c>
      <c r="L520" s="7"/>
      <c r="M520" s="7"/>
    </row>
    <row r="521" ht="18" customHeight="1" spans="1:13">
      <c r="A521" s="6" t="s">
        <v>181</v>
      </c>
      <c r="B521" s="6" t="s">
        <v>603</v>
      </c>
      <c r="C521" s="6" t="s">
        <v>604</v>
      </c>
      <c r="D521" s="5" t="s">
        <v>181</v>
      </c>
      <c r="E521" s="7">
        <v>2.36</v>
      </c>
      <c r="F521" s="7"/>
      <c r="G521" s="7">
        <v>51592.08</v>
      </c>
      <c r="H521" s="7"/>
      <c r="I521" s="7"/>
      <c r="J521" s="7"/>
      <c r="K521" s="7">
        <v>1218</v>
      </c>
      <c r="L521" s="7"/>
      <c r="M521" s="7"/>
    </row>
    <row r="522" ht="18" customHeight="1" spans="1:13">
      <c r="A522" s="6" t="s">
        <v>181</v>
      </c>
      <c r="B522" s="6" t="s">
        <v>605</v>
      </c>
      <c r="C522" s="6" t="s">
        <v>213</v>
      </c>
      <c r="D522" s="5" t="s">
        <v>181</v>
      </c>
      <c r="E522" s="7">
        <v>3.55</v>
      </c>
      <c r="F522" s="7"/>
      <c r="G522" s="7">
        <v>84962.83</v>
      </c>
      <c r="H522" s="7"/>
      <c r="I522" s="7"/>
      <c r="J522" s="7"/>
      <c r="K522" s="7">
        <v>3016</v>
      </c>
      <c r="L522" s="7"/>
      <c r="M522" s="7"/>
    </row>
    <row r="523" ht="18" customHeight="1" spans="1:13">
      <c r="A523" s="6" t="s">
        <v>181</v>
      </c>
      <c r="B523" s="6" t="s">
        <v>606</v>
      </c>
      <c r="C523" s="6" t="s">
        <v>607</v>
      </c>
      <c r="D523" s="5" t="s">
        <v>181</v>
      </c>
      <c r="E523" s="7">
        <v>100</v>
      </c>
      <c r="F523" s="7"/>
      <c r="G523" s="7">
        <v>38580.88</v>
      </c>
      <c r="H523" s="7"/>
      <c r="I523" s="7"/>
      <c r="J523" s="7"/>
      <c r="K523" s="7">
        <v>38581</v>
      </c>
      <c r="L523" s="7"/>
      <c r="M523" s="7"/>
    </row>
    <row r="524" ht="18" customHeight="1" spans="1:13">
      <c r="A524" s="6" t="s">
        <v>181</v>
      </c>
      <c r="B524" s="6" t="s">
        <v>577</v>
      </c>
      <c r="C524" s="6" t="s">
        <v>608</v>
      </c>
      <c r="D524" s="5" t="s">
        <v>181</v>
      </c>
      <c r="E524" s="7">
        <v>100</v>
      </c>
      <c r="F524" s="7"/>
      <c r="G524" s="7">
        <v>19230.95</v>
      </c>
      <c r="H524" s="7"/>
      <c r="I524" s="7"/>
      <c r="J524" s="7"/>
      <c r="K524" s="7">
        <v>19231</v>
      </c>
      <c r="L524" s="7"/>
      <c r="M524" s="7"/>
    </row>
    <row r="525" ht="18" customHeight="1" spans="1:13">
      <c r="A525" s="6" t="s">
        <v>181</v>
      </c>
      <c r="B525" s="6" t="s">
        <v>579</v>
      </c>
      <c r="C525" s="6" t="s">
        <v>609</v>
      </c>
      <c r="D525" s="5" t="s">
        <v>181</v>
      </c>
      <c r="E525" s="7">
        <v>23.5</v>
      </c>
      <c r="F525" s="7"/>
      <c r="G525" s="7">
        <v>54171.68</v>
      </c>
      <c r="H525" s="7"/>
      <c r="I525" s="7"/>
      <c r="J525" s="7"/>
      <c r="K525" s="7">
        <v>12730</v>
      </c>
      <c r="L525" s="7"/>
      <c r="M525" s="7"/>
    </row>
    <row r="526" ht="18" customHeight="1" spans="1:13">
      <c r="A526" s="6" t="s">
        <v>181</v>
      </c>
      <c r="B526" s="6" t="s">
        <v>587</v>
      </c>
      <c r="C526" s="6" t="s">
        <v>610</v>
      </c>
      <c r="D526" s="5" t="s">
        <v>181</v>
      </c>
      <c r="E526" s="7">
        <v>12</v>
      </c>
      <c r="F526" s="7"/>
      <c r="G526" s="7">
        <v>54171.68</v>
      </c>
      <c r="H526" s="7"/>
      <c r="I526" s="7"/>
      <c r="J526" s="7"/>
      <c r="K526" s="7">
        <v>6501</v>
      </c>
      <c r="L526" s="7"/>
      <c r="M526" s="7"/>
    </row>
    <row r="527" ht="18" customHeight="1" spans="1:13">
      <c r="A527" s="6" t="s">
        <v>181</v>
      </c>
      <c r="B527" s="6" t="s">
        <v>593</v>
      </c>
      <c r="C527" s="6" t="s">
        <v>611</v>
      </c>
      <c r="D527" s="5" t="s">
        <v>181</v>
      </c>
      <c r="E527" s="7">
        <v>35.76</v>
      </c>
      <c r="F527" s="7"/>
      <c r="G527" s="7">
        <v>51592.08</v>
      </c>
      <c r="H527" s="7"/>
      <c r="I527" s="7"/>
      <c r="J527" s="7"/>
      <c r="K527" s="7">
        <v>18449</v>
      </c>
      <c r="L527" s="7"/>
      <c r="M527" s="7"/>
    </row>
    <row r="528" ht="18" customHeight="1" spans="1:13">
      <c r="A528" s="6" t="s">
        <v>181</v>
      </c>
      <c r="B528" s="6" t="s">
        <v>612</v>
      </c>
      <c r="C528" s="6" t="s">
        <v>613</v>
      </c>
      <c r="D528" s="5" t="s">
        <v>181</v>
      </c>
      <c r="E528" s="7">
        <v>1.06</v>
      </c>
      <c r="F528" s="7"/>
      <c r="G528" s="7">
        <v>84962.83</v>
      </c>
      <c r="H528" s="7"/>
      <c r="I528" s="7"/>
      <c r="J528" s="7"/>
      <c r="K528" s="7">
        <v>901</v>
      </c>
      <c r="L528" s="7"/>
      <c r="M528" s="7"/>
    </row>
    <row r="529" ht="18" customHeight="1" spans="1:13">
      <c r="A529" s="6" t="s">
        <v>181</v>
      </c>
      <c r="B529" s="6" t="s">
        <v>614</v>
      </c>
      <c r="C529" s="6" t="s">
        <v>615</v>
      </c>
      <c r="D529" s="5" t="s">
        <v>181</v>
      </c>
      <c r="E529" s="7">
        <v>5</v>
      </c>
      <c r="F529" s="7"/>
      <c r="G529" s="7">
        <v>136985.26</v>
      </c>
      <c r="H529" s="7"/>
      <c r="I529" s="7"/>
      <c r="J529" s="7"/>
      <c r="K529" s="7">
        <v>6849</v>
      </c>
      <c r="L529" s="7"/>
      <c r="M529" s="7"/>
    </row>
    <row r="530" ht="18" customHeight="1" spans="1:13">
      <c r="A530" s="6" t="s">
        <v>181</v>
      </c>
      <c r="B530" s="6" t="s">
        <v>616</v>
      </c>
      <c r="C530" s="6" t="s">
        <v>617</v>
      </c>
      <c r="D530" s="5" t="s">
        <v>181</v>
      </c>
      <c r="E530" s="7">
        <v>100</v>
      </c>
      <c r="F530" s="7"/>
      <c r="G530" s="7">
        <v>7199.8</v>
      </c>
      <c r="H530" s="7"/>
      <c r="I530" s="7"/>
      <c r="J530" s="7"/>
      <c r="K530" s="7">
        <v>7200</v>
      </c>
      <c r="L530" s="7"/>
      <c r="M530" s="7"/>
    </row>
    <row r="531" ht="18" customHeight="1" spans="1:13">
      <c r="A531" s="6" t="s">
        <v>181</v>
      </c>
      <c r="B531" s="6" t="s">
        <v>577</v>
      </c>
      <c r="C531" s="6" t="s">
        <v>618</v>
      </c>
      <c r="D531" s="5" t="s">
        <v>181</v>
      </c>
      <c r="E531" s="7">
        <v>100</v>
      </c>
      <c r="F531" s="7"/>
      <c r="G531" s="7">
        <v>5494.56</v>
      </c>
      <c r="H531" s="7"/>
      <c r="I531" s="7"/>
      <c r="J531" s="7"/>
      <c r="K531" s="7">
        <v>5495</v>
      </c>
      <c r="L531" s="7"/>
      <c r="M531" s="7"/>
    </row>
    <row r="532" ht="18" customHeight="1" spans="1:13">
      <c r="A532" s="6" t="s">
        <v>181</v>
      </c>
      <c r="B532" s="6" t="s">
        <v>593</v>
      </c>
      <c r="C532" s="6" t="s">
        <v>619</v>
      </c>
      <c r="D532" s="5" t="s">
        <v>181</v>
      </c>
      <c r="E532" s="7">
        <v>100</v>
      </c>
      <c r="F532" s="7"/>
      <c r="G532" s="7">
        <v>1407.27</v>
      </c>
      <c r="H532" s="7"/>
      <c r="I532" s="7"/>
      <c r="J532" s="7"/>
      <c r="K532" s="7">
        <v>1407</v>
      </c>
      <c r="L532" s="7"/>
      <c r="M532" s="7"/>
    </row>
    <row r="533" ht="18" customHeight="1" spans="1:13">
      <c r="A533" s="6" t="s">
        <v>181</v>
      </c>
      <c r="B533" s="6" t="s">
        <v>612</v>
      </c>
      <c r="C533" s="6" t="s">
        <v>620</v>
      </c>
      <c r="D533" s="5" t="s">
        <v>181</v>
      </c>
      <c r="E533" s="7">
        <v>100</v>
      </c>
      <c r="F533" s="7"/>
      <c r="G533" s="7">
        <v>297.97</v>
      </c>
      <c r="H533" s="7"/>
      <c r="I533" s="7"/>
      <c r="J533" s="7"/>
      <c r="K533" s="7">
        <v>298</v>
      </c>
      <c r="L533" s="7"/>
      <c r="M533" s="7"/>
    </row>
    <row r="534" ht="18" customHeight="1" spans="1:13">
      <c r="A534" s="6" t="s">
        <v>181</v>
      </c>
      <c r="B534" s="6" t="s">
        <v>627</v>
      </c>
      <c r="C534" s="6" t="s">
        <v>216</v>
      </c>
      <c r="D534" s="5" t="s">
        <v>181</v>
      </c>
      <c r="E534" s="7">
        <v>9</v>
      </c>
      <c r="F534" s="7"/>
      <c r="G534" s="7">
        <v>151034.32</v>
      </c>
      <c r="H534" s="7"/>
      <c r="I534" s="7"/>
      <c r="J534" s="7"/>
      <c r="K534" s="7">
        <v>13593</v>
      </c>
      <c r="L534" s="7"/>
      <c r="M534" s="7"/>
    </row>
    <row r="535" ht="18" customHeight="1" spans="1:13">
      <c r="A535" s="6" t="s">
        <v>181</v>
      </c>
      <c r="B535" s="6" t="s">
        <v>662</v>
      </c>
      <c r="C535" s="6" t="s">
        <v>640</v>
      </c>
      <c r="D535" s="5" t="s">
        <v>181</v>
      </c>
      <c r="E535" s="7">
        <v>100</v>
      </c>
      <c r="F535" s="7"/>
      <c r="G535" s="7">
        <v>164627.41</v>
      </c>
      <c r="H535" s="7"/>
      <c r="I535" s="7"/>
      <c r="J535" s="7"/>
      <c r="K535" s="7">
        <v>164627</v>
      </c>
      <c r="L535" s="7"/>
      <c r="M535" s="7"/>
    </row>
    <row r="536" ht="18" customHeight="1" spans="1:13">
      <c r="A536" s="6" t="s">
        <v>181</v>
      </c>
      <c r="B536" s="6" t="s">
        <v>631</v>
      </c>
      <c r="C536" s="6" t="s">
        <v>100</v>
      </c>
      <c r="D536" s="5" t="s">
        <v>181</v>
      </c>
      <c r="E536" s="7">
        <v>100</v>
      </c>
      <c r="F536" s="7"/>
      <c r="G536" s="7">
        <v>164627.41</v>
      </c>
      <c r="H536" s="7"/>
      <c r="I536" s="7"/>
      <c r="J536" s="7"/>
      <c r="K536" s="7">
        <v>164627</v>
      </c>
      <c r="L536" s="7"/>
      <c r="M536" s="7"/>
    </row>
    <row r="537" ht="18" customHeight="1" spans="1:13">
      <c r="A537" s="6" t="s">
        <v>181</v>
      </c>
      <c r="B537" s="6" t="s">
        <v>663</v>
      </c>
      <c r="C537" s="6" t="s">
        <v>173</v>
      </c>
      <c r="D537" s="5" t="s">
        <v>181</v>
      </c>
      <c r="E537" s="7">
        <v>100</v>
      </c>
      <c r="F537" s="7"/>
      <c r="G537" s="7">
        <v>164627.41</v>
      </c>
      <c r="H537" s="7"/>
      <c r="I537" s="7"/>
      <c r="J537" s="7"/>
      <c r="K537" s="7">
        <v>164627</v>
      </c>
      <c r="L537" s="7"/>
      <c r="M537" s="7"/>
    </row>
    <row r="538" ht="18" customHeight="1" spans="1:13">
      <c r="A538" s="6" t="s">
        <v>181</v>
      </c>
      <c r="B538" s="6" t="s">
        <v>181</v>
      </c>
      <c r="C538" s="6" t="s">
        <v>181</v>
      </c>
      <c r="D538" s="5" t="s">
        <v>181</v>
      </c>
      <c r="E538" s="7"/>
      <c r="F538" s="7"/>
      <c r="G538" s="7"/>
      <c r="H538" s="7"/>
      <c r="I538" s="7"/>
      <c r="J538" s="7"/>
      <c r="K538" s="7"/>
      <c r="L538" s="7"/>
      <c r="M538" s="7"/>
    </row>
    <row r="539" ht="18" customHeight="1" spans="1:13">
      <c r="A539" s="6" t="s">
        <v>842</v>
      </c>
      <c r="B539" s="6" t="s">
        <v>181</v>
      </c>
      <c r="C539" s="6" t="s">
        <v>843</v>
      </c>
      <c r="D539" s="5" t="s">
        <v>181</v>
      </c>
      <c r="E539" s="7"/>
      <c r="F539" s="7"/>
      <c r="G539" s="7"/>
      <c r="H539" s="7"/>
      <c r="I539" s="7"/>
      <c r="J539" s="7">
        <v>786728</v>
      </c>
      <c r="K539" s="7">
        <v>1954590</v>
      </c>
      <c r="L539" s="7">
        <v>382378</v>
      </c>
      <c r="M539" s="7">
        <v>93272</v>
      </c>
    </row>
    <row r="540" ht="18" customHeight="1" spans="1:13">
      <c r="A540" s="6" t="s">
        <v>844</v>
      </c>
      <c r="B540" s="6" t="s">
        <v>181</v>
      </c>
      <c r="C540" s="6" t="s">
        <v>845</v>
      </c>
      <c r="D540" s="5" t="s">
        <v>181</v>
      </c>
      <c r="E540" s="7"/>
      <c r="F540" s="7"/>
      <c r="G540" s="7"/>
      <c r="H540" s="7"/>
      <c r="I540" s="7"/>
      <c r="J540" s="7"/>
      <c r="K540" s="7">
        <v>20548</v>
      </c>
      <c r="L540" s="7">
        <v>6735</v>
      </c>
      <c r="M540" s="7">
        <v>3133</v>
      </c>
    </row>
    <row r="541" ht="18" customHeight="1" spans="1:13">
      <c r="A541" s="6" t="s">
        <v>181</v>
      </c>
      <c r="B541" s="6" t="s">
        <v>181</v>
      </c>
      <c r="C541" s="6" t="s">
        <v>644</v>
      </c>
      <c r="D541" s="5" t="s">
        <v>181</v>
      </c>
      <c r="E541" s="7"/>
      <c r="F541" s="7"/>
      <c r="G541" s="7"/>
      <c r="H541" s="7"/>
      <c r="I541" s="7"/>
      <c r="J541" s="7"/>
      <c r="K541" s="7"/>
      <c r="L541" s="7"/>
      <c r="M541" s="7"/>
    </row>
    <row r="542" ht="18" customHeight="1" spans="1:13">
      <c r="A542" s="6" t="s">
        <v>181</v>
      </c>
      <c r="B542" s="6" t="s">
        <v>645</v>
      </c>
      <c r="C542" s="6" t="s">
        <v>646</v>
      </c>
      <c r="D542" s="5" t="s">
        <v>647</v>
      </c>
      <c r="E542" s="7">
        <v>35.474</v>
      </c>
      <c r="F542" s="7"/>
      <c r="G542" s="7">
        <v>131.28</v>
      </c>
      <c r="H542" s="7">
        <v>123</v>
      </c>
      <c r="I542" s="7">
        <v>8.28</v>
      </c>
      <c r="J542" s="7"/>
      <c r="K542" s="7">
        <v>4657</v>
      </c>
      <c r="L542" s="7">
        <v>4363</v>
      </c>
      <c r="M542" s="7">
        <v>294</v>
      </c>
    </row>
    <row r="543" ht="18" customHeight="1" spans="1:13">
      <c r="A543" s="6" t="s">
        <v>181</v>
      </c>
      <c r="B543" s="6" t="s">
        <v>648</v>
      </c>
      <c r="C543" s="6" t="s">
        <v>649</v>
      </c>
      <c r="D543" s="5" t="s">
        <v>182</v>
      </c>
      <c r="E543" s="7">
        <v>70.947</v>
      </c>
      <c r="F543" s="7"/>
      <c r="G543" s="7">
        <v>46.02</v>
      </c>
      <c r="H543" s="7">
        <v>12.61</v>
      </c>
      <c r="I543" s="7">
        <v>26.19</v>
      </c>
      <c r="J543" s="7"/>
      <c r="K543" s="7">
        <v>3265</v>
      </c>
      <c r="L543" s="7">
        <v>895</v>
      </c>
      <c r="M543" s="7">
        <v>1858</v>
      </c>
    </row>
    <row r="544" ht="18" customHeight="1" spans="1:13">
      <c r="A544" s="6" t="s">
        <v>181</v>
      </c>
      <c r="B544" s="6" t="s">
        <v>650</v>
      </c>
      <c r="C544" s="6" t="s">
        <v>651</v>
      </c>
      <c r="D544" s="5" t="s">
        <v>647</v>
      </c>
      <c r="E544" s="7">
        <v>851.369</v>
      </c>
      <c r="F544" s="7"/>
      <c r="G544" s="7">
        <v>1.53</v>
      </c>
      <c r="H544" s="7">
        <v>0.51</v>
      </c>
      <c r="I544" s="7">
        <v>1.02</v>
      </c>
      <c r="J544" s="7"/>
      <c r="K544" s="7">
        <v>1303</v>
      </c>
      <c r="L544" s="7">
        <v>434</v>
      </c>
      <c r="M544" s="7">
        <v>868</v>
      </c>
    </row>
    <row r="545" ht="18" customHeight="1" spans="1:13">
      <c r="A545" s="6" t="s">
        <v>181</v>
      </c>
      <c r="B545" s="6" t="s">
        <v>181</v>
      </c>
      <c r="C545" s="6" t="s">
        <v>659</v>
      </c>
      <c r="D545" s="5" t="s">
        <v>660</v>
      </c>
      <c r="E545" s="7">
        <v>22.6</v>
      </c>
      <c r="F545" s="7"/>
      <c r="G545" s="7">
        <v>4363.3</v>
      </c>
      <c r="H545" s="7">
        <v>4363.3</v>
      </c>
      <c r="I545" s="7"/>
      <c r="J545" s="7"/>
      <c r="K545" s="7">
        <v>986</v>
      </c>
      <c r="L545" s="7">
        <v>986</v>
      </c>
      <c r="M545" s="7"/>
    </row>
    <row r="546" ht="18" customHeight="1" spans="1:13">
      <c r="A546" s="6" t="s">
        <v>181</v>
      </c>
      <c r="B546" s="6" t="s">
        <v>181</v>
      </c>
      <c r="C546" s="6" t="s">
        <v>661</v>
      </c>
      <c r="D546" s="5" t="s">
        <v>660</v>
      </c>
      <c r="E546" s="7">
        <v>13</v>
      </c>
      <c r="F546" s="7"/>
      <c r="G546" s="7">
        <v>1302.59</v>
      </c>
      <c r="H546" s="7">
        <v>434.2</v>
      </c>
      <c r="I546" s="7">
        <v>868.4</v>
      </c>
      <c r="J546" s="7"/>
      <c r="K546" s="7">
        <v>169</v>
      </c>
      <c r="L546" s="7">
        <v>56</v>
      </c>
      <c r="M546" s="7">
        <v>113</v>
      </c>
    </row>
    <row r="547" ht="18" customHeight="1" spans="1:13">
      <c r="A547" s="6" t="s">
        <v>181</v>
      </c>
      <c r="B547" s="6" t="s">
        <v>181</v>
      </c>
      <c r="C547" s="6" t="s">
        <v>562</v>
      </c>
      <c r="D547" s="5" t="s">
        <v>181</v>
      </c>
      <c r="E547" s="7"/>
      <c r="F547" s="7"/>
      <c r="G547" s="7"/>
      <c r="H547" s="7"/>
      <c r="I547" s="7"/>
      <c r="J547" s="7"/>
      <c r="K547" s="7">
        <v>10380</v>
      </c>
      <c r="L547" s="7">
        <v>6735</v>
      </c>
      <c r="M547" s="7">
        <v>3133</v>
      </c>
    </row>
    <row r="548" ht="18" customHeight="1" spans="1:13">
      <c r="A548" s="6" t="s">
        <v>181</v>
      </c>
      <c r="B548" s="6" t="s">
        <v>181</v>
      </c>
      <c r="C548" s="6" t="s">
        <v>181</v>
      </c>
      <c r="D548" s="5" t="s">
        <v>181</v>
      </c>
      <c r="E548" s="7"/>
      <c r="F548" s="7"/>
      <c r="G548" s="7"/>
      <c r="H548" s="7"/>
      <c r="I548" s="7"/>
      <c r="J548" s="7"/>
      <c r="K548" s="7"/>
      <c r="L548" s="7"/>
      <c r="M548" s="7"/>
    </row>
    <row r="549" ht="18" customHeight="1" spans="1:13">
      <c r="A549" s="6" t="s">
        <v>181</v>
      </c>
      <c r="B549" s="6" t="s">
        <v>354</v>
      </c>
      <c r="C549" s="6" t="s">
        <v>210</v>
      </c>
      <c r="D549" s="5" t="s">
        <v>181</v>
      </c>
      <c r="E549" s="7">
        <v>100</v>
      </c>
      <c r="F549" s="7"/>
      <c r="G549" s="7">
        <v>12064.3</v>
      </c>
      <c r="H549" s="7"/>
      <c r="I549" s="7"/>
      <c r="J549" s="7"/>
      <c r="K549" s="7">
        <v>12064</v>
      </c>
      <c r="L549" s="7"/>
      <c r="M549" s="7"/>
    </row>
    <row r="550" ht="18" customHeight="1" spans="1:13">
      <c r="A550" s="6" t="s">
        <v>181</v>
      </c>
      <c r="B550" s="6" t="s">
        <v>577</v>
      </c>
      <c r="C550" s="6" t="s">
        <v>578</v>
      </c>
      <c r="D550" s="5" t="s">
        <v>181</v>
      </c>
      <c r="E550" s="7">
        <v>100</v>
      </c>
      <c r="F550" s="7"/>
      <c r="G550" s="7">
        <v>10380.05</v>
      </c>
      <c r="H550" s="7"/>
      <c r="I550" s="7"/>
      <c r="J550" s="7"/>
      <c r="K550" s="7">
        <v>10380</v>
      </c>
      <c r="L550" s="7"/>
      <c r="M550" s="7"/>
    </row>
    <row r="551" ht="18" customHeight="1" spans="1:13">
      <c r="A551" s="6" t="s">
        <v>181</v>
      </c>
      <c r="B551" s="6" t="s">
        <v>579</v>
      </c>
      <c r="C551" s="6" t="s">
        <v>580</v>
      </c>
      <c r="D551" s="5" t="s">
        <v>181</v>
      </c>
      <c r="E551" s="7">
        <v>100</v>
      </c>
      <c r="F551" s="7"/>
      <c r="G551" s="7">
        <v>10380.05</v>
      </c>
      <c r="H551" s="7"/>
      <c r="I551" s="7"/>
      <c r="J551" s="7"/>
      <c r="K551" s="7">
        <v>10380</v>
      </c>
      <c r="L551" s="7"/>
      <c r="M551" s="7"/>
    </row>
    <row r="552" ht="44.1" customHeight="1" spans="1:13">
      <c r="A552" s="6" t="s">
        <v>181</v>
      </c>
      <c r="B552" s="6" t="s">
        <v>581</v>
      </c>
      <c r="C552" s="6" t="s">
        <v>582</v>
      </c>
      <c r="D552" s="5" t="s">
        <v>181</v>
      </c>
      <c r="E552" s="7">
        <v>100</v>
      </c>
      <c r="F552" s="7"/>
      <c r="G552" s="7">
        <v>6734.69</v>
      </c>
      <c r="H552" s="7"/>
      <c r="I552" s="7"/>
      <c r="J552" s="7"/>
      <c r="K552" s="7">
        <v>6735</v>
      </c>
      <c r="L552" s="7"/>
      <c r="M552" s="7"/>
    </row>
    <row r="553" ht="44.1" customHeight="1" spans="1:13">
      <c r="A553" s="6" t="s">
        <v>181</v>
      </c>
      <c r="B553" s="6" t="s">
        <v>583</v>
      </c>
      <c r="C553" s="6" t="s">
        <v>584</v>
      </c>
      <c r="D553" s="5" t="s">
        <v>181</v>
      </c>
      <c r="E553" s="7">
        <v>100</v>
      </c>
      <c r="F553" s="7"/>
      <c r="G553" s="7">
        <v>512.24</v>
      </c>
      <c r="H553" s="7"/>
      <c r="I553" s="7"/>
      <c r="J553" s="7"/>
      <c r="K553" s="7">
        <v>512</v>
      </c>
      <c r="L553" s="7"/>
      <c r="M553" s="7"/>
    </row>
    <row r="554" ht="30.6" customHeight="1" spans="1:13">
      <c r="A554" s="6" t="s">
        <v>181</v>
      </c>
      <c r="B554" s="6" t="s">
        <v>585</v>
      </c>
      <c r="C554" s="6" t="s">
        <v>586</v>
      </c>
      <c r="D554" s="5" t="s">
        <v>181</v>
      </c>
      <c r="E554" s="7">
        <v>100</v>
      </c>
      <c r="F554" s="7"/>
      <c r="G554" s="7">
        <v>3133.11</v>
      </c>
      <c r="H554" s="7"/>
      <c r="I554" s="7"/>
      <c r="J554" s="7"/>
      <c r="K554" s="7">
        <v>3133</v>
      </c>
      <c r="L554" s="7"/>
      <c r="M554" s="7"/>
    </row>
    <row r="555" ht="44.1" customHeight="1" spans="1:13">
      <c r="A555" s="6" t="s">
        <v>181</v>
      </c>
      <c r="B555" s="6" t="s">
        <v>593</v>
      </c>
      <c r="C555" s="6" t="s">
        <v>258</v>
      </c>
      <c r="D555" s="5" t="s">
        <v>181</v>
      </c>
      <c r="E555" s="7">
        <v>100</v>
      </c>
      <c r="F555" s="7"/>
      <c r="G555" s="7">
        <v>1684.26</v>
      </c>
      <c r="H555" s="7"/>
      <c r="I555" s="7"/>
      <c r="J555" s="7"/>
      <c r="K555" s="7">
        <v>1684</v>
      </c>
      <c r="L555" s="7"/>
      <c r="M555" s="7"/>
    </row>
    <row r="556" ht="18" customHeight="1" spans="1:13">
      <c r="A556" s="6" t="s">
        <v>181</v>
      </c>
      <c r="B556" s="6" t="s">
        <v>594</v>
      </c>
      <c r="C556" s="6" t="s">
        <v>595</v>
      </c>
      <c r="D556" s="5" t="s">
        <v>181</v>
      </c>
      <c r="E556" s="7">
        <v>3.57</v>
      </c>
      <c r="F556" s="7"/>
      <c r="G556" s="7">
        <v>6734.69</v>
      </c>
      <c r="H556" s="7"/>
      <c r="I556" s="7"/>
      <c r="J556" s="7"/>
      <c r="K556" s="7">
        <v>240</v>
      </c>
      <c r="L556" s="7"/>
      <c r="M556" s="7"/>
    </row>
    <row r="557" ht="30.6" customHeight="1" spans="1:13">
      <c r="A557" s="6" t="s">
        <v>181</v>
      </c>
      <c r="B557" s="6" t="s">
        <v>598</v>
      </c>
      <c r="C557" s="6" t="s">
        <v>599</v>
      </c>
      <c r="D557" s="5" t="s">
        <v>181</v>
      </c>
      <c r="E557" s="7">
        <v>3.82</v>
      </c>
      <c r="F557" s="7"/>
      <c r="G557" s="7">
        <v>6734.69</v>
      </c>
      <c r="H557" s="7"/>
      <c r="I557" s="7"/>
      <c r="J557" s="7"/>
      <c r="K557" s="7">
        <v>257</v>
      </c>
      <c r="L557" s="7"/>
      <c r="M557" s="7"/>
    </row>
    <row r="558" ht="18" customHeight="1" spans="1:13">
      <c r="A558" s="6" t="s">
        <v>181</v>
      </c>
      <c r="B558" s="6" t="s">
        <v>602</v>
      </c>
      <c r="C558" s="6" t="s">
        <v>76</v>
      </c>
      <c r="D558" s="5" t="s">
        <v>181</v>
      </c>
      <c r="E558" s="7">
        <v>6.35</v>
      </c>
      <c r="F558" s="7"/>
      <c r="G558" s="7">
        <v>10380.05</v>
      </c>
      <c r="H558" s="7"/>
      <c r="I558" s="7"/>
      <c r="J558" s="7"/>
      <c r="K558" s="7">
        <v>659</v>
      </c>
      <c r="L558" s="7"/>
      <c r="M558" s="7"/>
    </row>
    <row r="559" ht="44.1" customHeight="1" spans="1:13">
      <c r="A559" s="6" t="s">
        <v>181</v>
      </c>
      <c r="B559" s="6" t="s">
        <v>603</v>
      </c>
      <c r="C559" s="6" t="s">
        <v>604</v>
      </c>
      <c r="D559" s="5" t="s">
        <v>181</v>
      </c>
      <c r="E559" s="7">
        <v>2.36</v>
      </c>
      <c r="F559" s="7"/>
      <c r="G559" s="7">
        <v>6734.69</v>
      </c>
      <c r="H559" s="7"/>
      <c r="I559" s="7"/>
      <c r="J559" s="7"/>
      <c r="K559" s="7">
        <v>159</v>
      </c>
      <c r="L559" s="7"/>
      <c r="M559" s="7"/>
    </row>
    <row r="560" ht="18" customHeight="1" spans="1:13">
      <c r="A560" s="6" t="s">
        <v>181</v>
      </c>
      <c r="B560" s="6" t="s">
        <v>605</v>
      </c>
      <c r="C560" s="6" t="s">
        <v>213</v>
      </c>
      <c r="D560" s="5" t="s">
        <v>181</v>
      </c>
      <c r="E560" s="7">
        <v>3.55</v>
      </c>
      <c r="F560" s="7"/>
      <c r="G560" s="7">
        <v>10380.05</v>
      </c>
      <c r="H560" s="7"/>
      <c r="I560" s="7"/>
      <c r="J560" s="7"/>
      <c r="K560" s="7">
        <v>368</v>
      </c>
      <c r="L560" s="7"/>
      <c r="M560" s="7"/>
    </row>
    <row r="561" ht="18" customHeight="1" spans="1:13">
      <c r="A561" s="6" t="s">
        <v>181</v>
      </c>
      <c r="B561" s="6" t="s">
        <v>606</v>
      </c>
      <c r="C561" s="6" t="s">
        <v>607</v>
      </c>
      <c r="D561" s="5" t="s">
        <v>181</v>
      </c>
      <c r="E561" s="7">
        <v>100</v>
      </c>
      <c r="F561" s="7"/>
      <c r="G561" s="7">
        <v>5028.71</v>
      </c>
      <c r="H561" s="7"/>
      <c r="I561" s="7"/>
      <c r="J561" s="7"/>
      <c r="K561" s="7">
        <v>5029</v>
      </c>
      <c r="L561" s="7"/>
      <c r="M561" s="7"/>
    </row>
    <row r="562" ht="18" customHeight="1" spans="1:13">
      <c r="A562" s="6" t="s">
        <v>181</v>
      </c>
      <c r="B562" s="6" t="s">
        <v>577</v>
      </c>
      <c r="C562" s="6" t="s">
        <v>608</v>
      </c>
      <c r="D562" s="5" t="s">
        <v>181</v>
      </c>
      <c r="E562" s="7">
        <v>100</v>
      </c>
      <c r="F562" s="7"/>
      <c r="G562" s="7">
        <v>2510.36</v>
      </c>
      <c r="H562" s="7"/>
      <c r="I562" s="7"/>
      <c r="J562" s="7"/>
      <c r="K562" s="7">
        <v>2510</v>
      </c>
      <c r="L562" s="7"/>
      <c r="M562" s="7"/>
    </row>
    <row r="563" ht="18" customHeight="1" spans="1:13">
      <c r="A563" s="6" t="s">
        <v>181</v>
      </c>
      <c r="B563" s="6" t="s">
        <v>579</v>
      </c>
      <c r="C563" s="6" t="s">
        <v>609</v>
      </c>
      <c r="D563" s="5" t="s">
        <v>181</v>
      </c>
      <c r="E563" s="7">
        <v>23.5</v>
      </c>
      <c r="F563" s="7"/>
      <c r="G563" s="7">
        <v>7071.43</v>
      </c>
      <c r="H563" s="7"/>
      <c r="I563" s="7"/>
      <c r="J563" s="7"/>
      <c r="K563" s="7">
        <v>1662</v>
      </c>
      <c r="L563" s="7"/>
      <c r="M563" s="7"/>
    </row>
    <row r="564" ht="18" customHeight="1" spans="1:13">
      <c r="A564" s="6" t="s">
        <v>181</v>
      </c>
      <c r="B564" s="6" t="s">
        <v>587</v>
      </c>
      <c r="C564" s="6" t="s">
        <v>610</v>
      </c>
      <c r="D564" s="5" t="s">
        <v>181</v>
      </c>
      <c r="E564" s="7">
        <v>12</v>
      </c>
      <c r="F564" s="7"/>
      <c r="G564" s="7">
        <v>7071.43</v>
      </c>
      <c r="H564" s="7"/>
      <c r="I564" s="7"/>
      <c r="J564" s="7"/>
      <c r="K564" s="7">
        <v>849</v>
      </c>
      <c r="L564" s="7"/>
      <c r="M564" s="7"/>
    </row>
    <row r="565" ht="18" customHeight="1" spans="1:13">
      <c r="A565" s="6" t="s">
        <v>181</v>
      </c>
      <c r="B565" s="6" t="s">
        <v>593</v>
      </c>
      <c r="C565" s="6" t="s">
        <v>611</v>
      </c>
      <c r="D565" s="5" t="s">
        <v>181</v>
      </c>
      <c r="E565" s="7">
        <v>35.76</v>
      </c>
      <c r="F565" s="7"/>
      <c r="G565" s="7">
        <v>6734.69</v>
      </c>
      <c r="H565" s="7"/>
      <c r="I565" s="7"/>
      <c r="J565" s="7"/>
      <c r="K565" s="7">
        <v>2408</v>
      </c>
      <c r="L565" s="7"/>
      <c r="M565" s="7"/>
    </row>
    <row r="566" ht="18" customHeight="1" spans="1:13">
      <c r="A566" s="6" t="s">
        <v>181</v>
      </c>
      <c r="B566" s="6" t="s">
        <v>612</v>
      </c>
      <c r="C566" s="6" t="s">
        <v>613</v>
      </c>
      <c r="D566" s="5" t="s">
        <v>181</v>
      </c>
      <c r="E566" s="7">
        <v>1.06</v>
      </c>
      <c r="F566" s="7"/>
      <c r="G566" s="7">
        <v>10380.05</v>
      </c>
      <c r="H566" s="7"/>
      <c r="I566" s="7"/>
      <c r="J566" s="7"/>
      <c r="K566" s="7">
        <v>110</v>
      </c>
      <c r="L566" s="7"/>
      <c r="M566" s="7"/>
    </row>
    <row r="567" ht="18" customHeight="1" spans="1:13">
      <c r="A567" s="6" t="s">
        <v>181</v>
      </c>
      <c r="B567" s="6" t="s">
        <v>614</v>
      </c>
      <c r="C567" s="6" t="s">
        <v>615</v>
      </c>
      <c r="D567" s="5" t="s">
        <v>181</v>
      </c>
      <c r="E567" s="7">
        <v>5</v>
      </c>
      <c r="F567" s="7"/>
      <c r="G567" s="7">
        <v>17093.02</v>
      </c>
      <c r="H567" s="7"/>
      <c r="I567" s="7"/>
      <c r="J567" s="7"/>
      <c r="K567" s="7">
        <v>855</v>
      </c>
      <c r="L567" s="7"/>
      <c r="M567" s="7"/>
    </row>
    <row r="568" ht="18" customHeight="1" spans="1:13">
      <c r="A568" s="6" t="s">
        <v>181</v>
      </c>
      <c r="B568" s="6" t="s">
        <v>616</v>
      </c>
      <c r="C568" s="6" t="s">
        <v>617</v>
      </c>
      <c r="D568" s="5" t="s">
        <v>181</v>
      </c>
      <c r="E568" s="7">
        <v>100</v>
      </c>
      <c r="F568" s="7"/>
      <c r="G568" s="7">
        <v>903.52</v>
      </c>
      <c r="H568" s="7"/>
      <c r="I568" s="7"/>
      <c r="J568" s="7"/>
      <c r="K568" s="7">
        <v>904</v>
      </c>
      <c r="L568" s="7"/>
      <c r="M568" s="7"/>
    </row>
    <row r="569" ht="18" customHeight="1" spans="1:13">
      <c r="A569" s="6" t="s">
        <v>181</v>
      </c>
      <c r="B569" s="6" t="s">
        <v>577</v>
      </c>
      <c r="C569" s="6" t="s">
        <v>618</v>
      </c>
      <c r="D569" s="5" t="s">
        <v>181</v>
      </c>
      <c r="E569" s="7">
        <v>100</v>
      </c>
      <c r="F569" s="7"/>
      <c r="G569" s="7">
        <v>717.24</v>
      </c>
      <c r="H569" s="7"/>
      <c r="I569" s="7"/>
      <c r="J569" s="7"/>
      <c r="K569" s="7">
        <v>717</v>
      </c>
      <c r="L569" s="7"/>
      <c r="M569" s="7"/>
    </row>
    <row r="570" ht="18" customHeight="1" spans="1:13">
      <c r="A570" s="6" t="s">
        <v>181</v>
      </c>
      <c r="B570" s="6" t="s">
        <v>593</v>
      </c>
      <c r="C570" s="6" t="s">
        <v>619</v>
      </c>
      <c r="D570" s="5" t="s">
        <v>181</v>
      </c>
      <c r="E570" s="7">
        <v>100</v>
      </c>
      <c r="F570" s="7"/>
      <c r="G570" s="7">
        <v>26.18</v>
      </c>
      <c r="H570" s="7"/>
      <c r="I570" s="7"/>
      <c r="J570" s="7"/>
      <c r="K570" s="7">
        <v>26</v>
      </c>
      <c r="L570" s="7"/>
      <c r="M570" s="7"/>
    </row>
    <row r="571" ht="18" customHeight="1" spans="1:13">
      <c r="A571" s="6" t="s">
        <v>181</v>
      </c>
      <c r="B571" s="6" t="s">
        <v>612</v>
      </c>
      <c r="C571" s="6" t="s">
        <v>620</v>
      </c>
      <c r="D571" s="5" t="s">
        <v>181</v>
      </c>
      <c r="E571" s="7">
        <v>100</v>
      </c>
      <c r="F571" s="7"/>
      <c r="G571" s="7">
        <v>160.1</v>
      </c>
      <c r="H571" s="7"/>
      <c r="I571" s="7"/>
      <c r="J571" s="7"/>
      <c r="K571" s="7">
        <v>160</v>
      </c>
      <c r="L571" s="7"/>
      <c r="M571" s="7"/>
    </row>
    <row r="572" ht="18" customHeight="1" spans="1:13">
      <c r="A572" s="6" t="s">
        <v>181</v>
      </c>
      <c r="B572" s="6" t="s">
        <v>627</v>
      </c>
      <c r="C572" s="6" t="s">
        <v>216</v>
      </c>
      <c r="D572" s="5" t="s">
        <v>181</v>
      </c>
      <c r="E572" s="7">
        <v>9</v>
      </c>
      <c r="F572" s="7"/>
      <c r="G572" s="7">
        <v>18851.19</v>
      </c>
      <c r="H572" s="7"/>
      <c r="I572" s="7"/>
      <c r="J572" s="7"/>
      <c r="K572" s="7">
        <v>1697</v>
      </c>
      <c r="L572" s="7"/>
      <c r="M572" s="7"/>
    </row>
    <row r="573" ht="18" customHeight="1" spans="1:13">
      <c r="A573" s="6" t="s">
        <v>181</v>
      </c>
      <c r="B573" s="6" t="s">
        <v>662</v>
      </c>
      <c r="C573" s="6" t="s">
        <v>640</v>
      </c>
      <c r="D573" s="5" t="s">
        <v>181</v>
      </c>
      <c r="E573" s="7">
        <v>100</v>
      </c>
      <c r="F573" s="7"/>
      <c r="G573" s="7">
        <v>20547.8</v>
      </c>
      <c r="H573" s="7"/>
      <c r="I573" s="7"/>
      <c r="J573" s="7"/>
      <c r="K573" s="7">
        <v>20548</v>
      </c>
      <c r="L573" s="7"/>
      <c r="M573" s="7"/>
    </row>
    <row r="574" ht="18" customHeight="1" spans="1:13">
      <c r="A574" s="6" t="s">
        <v>181</v>
      </c>
      <c r="B574" s="6" t="s">
        <v>631</v>
      </c>
      <c r="C574" s="6" t="s">
        <v>100</v>
      </c>
      <c r="D574" s="5" t="s">
        <v>181</v>
      </c>
      <c r="E574" s="7">
        <v>100</v>
      </c>
      <c r="F574" s="7"/>
      <c r="G574" s="7">
        <v>20547.8</v>
      </c>
      <c r="H574" s="7"/>
      <c r="I574" s="7"/>
      <c r="J574" s="7"/>
      <c r="K574" s="7">
        <v>20548</v>
      </c>
      <c r="L574" s="7"/>
      <c r="M574" s="7"/>
    </row>
    <row r="575" ht="18" customHeight="1" spans="1:13">
      <c r="A575" s="6" t="s">
        <v>181</v>
      </c>
      <c r="B575" s="6" t="s">
        <v>663</v>
      </c>
      <c r="C575" s="6" t="s">
        <v>173</v>
      </c>
      <c r="D575" s="5" t="s">
        <v>181</v>
      </c>
      <c r="E575" s="7">
        <v>100</v>
      </c>
      <c r="F575" s="7"/>
      <c r="G575" s="7">
        <v>20547.8</v>
      </c>
      <c r="H575" s="7"/>
      <c r="I575" s="7"/>
      <c r="J575" s="7"/>
      <c r="K575" s="7">
        <v>20548</v>
      </c>
      <c r="L575" s="7"/>
      <c r="M575" s="7"/>
    </row>
    <row r="576" ht="18" customHeight="1" spans="1:13">
      <c r="A576" s="6" t="s">
        <v>181</v>
      </c>
      <c r="B576" s="6" t="s">
        <v>181</v>
      </c>
      <c r="C576" s="6" t="s">
        <v>181</v>
      </c>
      <c r="D576" s="5" t="s">
        <v>181</v>
      </c>
      <c r="E576" s="7"/>
      <c r="F576" s="7"/>
      <c r="G576" s="7"/>
      <c r="H576" s="7"/>
      <c r="I576" s="7"/>
      <c r="J576" s="7"/>
      <c r="K576" s="7"/>
      <c r="L576" s="7"/>
      <c r="M576" s="7"/>
    </row>
    <row r="577" ht="18" customHeight="1" spans="1:13">
      <c r="A577" s="6" t="s">
        <v>846</v>
      </c>
      <c r="B577" s="6" t="s">
        <v>181</v>
      </c>
      <c r="C577" s="6" t="s">
        <v>847</v>
      </c>
      <c r="D577" s="5" t="s">
        <v>181</v>
      </c>
      <c r="E577" s="7"/>
      <c r="F577" s="7"/>
      <c r="G577" s="7"/>
      <c r="H577" s="7"/>
      <c r="I577" s="7"/>
      <c r="J577" s="7">
        <v>786728</v>
      </c>
      <c r="K577" s="7">
        <v>1934042</v>
      </c>
      <c r="L577" s="7">
        <v>375643</v>
      </c>
      <c r="M577" s="7">
        <v>90139</v>
      </c>
    </row>
    <row r="578" ht="18" customHeight="1" spans="1:13">
      <c r="A578" s="6" t="s">
        <v>848</v>
      </c>
      <c r="B578" s="6" t="s">
        <v>181</v>
      </c>
      <c r="C578" s="6" t="s">
        <v>849</v>
      </c>
      <c r="D578" s="5" t="s">
        <v>181</v>
      </c>
      <c r="E578" s="7"/>
      <c r="F578" s="7"/>
      <c r="G578" s="7"/>
      <c r="H578" s="7"/>
      <c r="I578" s="7"/>
      <c r="J578" s="7"/>
      <c r="K578" s="7">
        <v>945196</v>
      </c>
      <c r="L578" s="7">
        <v>354460</v>
      </c>
      <c r="M578" s="7">
        <v>86327</v>
      </c>
    </row>
    <row r="579" ht="18" customHeight="1" spans="1:13">
      <c r="A579" s="6" t="s">
        <v>181</v>
      </c>
      <c r="B579" s="6" t="s">
        <v>181</v>
      </c>
      <c r="C579" s="6" t="s">
        <v>850</v>
      </c>
      <c r="D579" s="5" t="s">
        <v>181</v>
      </c>
      <c r="E579" s="7"/>
      <c r="F579" s="7"/>
      <c r="G579" s="7"/>
      <c r="H579" s="7"/>
      <c r="I579" s="7"/>
      <c r="J579" s="7"/>
      <c r="K579" s="7"/>
      <c r="L579" s="7"/>
      <c r="M579" s="7"/>
    </row>
    <row r="580" ht="18" customHeight="1" spans="1:13">
      <c r="A580" s="6" t="s">
        <v>181</v>
      </c>
      <c r="B580" s="6" t="s">
        <v>851</v>
      </c>
      <c r="C580" s="6" t="s">
        <v>852</v>
      </c>
      <c r="D580" s="5" t="s">
        <v>462</v>
      </c>
      <c r="E580" s="7">
        <v>352</v>
      </c>
      <c r="F580" s="7"/>
      <c r="G580" s="7">
        <v>917.62</v>
      </c>
      <c r="H580" s="7">
        <v>761.86</v>
      </c>
      <c r="I580" s="7">
        <v>151.71</v>
      </c>
      <c r="J580" s="7"/>
      <c r="K580" s="7">
        <v>323002</v>
      </c>
      <c r="L580" s="7">
        <v>268175</v>
      </c>
      <c r="M580" s="7">
        <v>53402</v>
      </c>
    </row>
    <row r="581" ht="18" customHeight="1" spans="1:13">
      <c r="A581" s="6" t="s">
        <v>181</v>
      </c>
      <c r="B581" s="6" t="s">
        <v>181</v>
      </c>
      <c r="C581" s="6" t="s">
        <v>853</v>
      </c>
      <c r="D581" s="5" t="s">
        <v>181</v>
      </c>
      <c r="E581" s="7"/>
      <c r="F581" s="7"/>
      <c r="G581" s="7"/>
      <c r="H581" s="7"/>
      <c r="I581" s="7"/>
      <c r="J581" s="7"/>
      <c r="K581" s="7"/>
      <c r="L581" s="7"/>
      <c r="M581" s="7"/>
    </row>
    <row r="582" ht="18" customHeight="1" spans="1:13">
      <c r="A582" s="6" t="s">
        <v>181</v>
      </c>
      <c r="B582" s="6" t="s">
        <v>854</v>
      </c>
      <c r="C582" s="6" t="s">
        <v>855</v>
      </c>
      <c r="D582" s="5" t="s">
        <v>856</v>
      </c>
      <c r="E582" s="7">
        <v>180</v>
      </c>
      <c r="F582" s="7"/>
      <c r="G582" s="7">
        <v>538.6</v>
      </c>
      <c r="H582" s="7">
        <v>374.05</v>
      </c>
      <c r="I582" s="7">
        <v>157.27</v>
      </c>
      <c r="J582" s="7"/>
      <c r="K582" s="7">
        <v>96948</v>
      </c>
      <c r="L582" s="7">
        <v>67329</v>
      </c>
      <c r="M582" s="7">
        <v>28309</v>
      </c>
    </row>
    <row r="583" ht="18" customHeight="1" spans="1:13">
      <c r="A583" s="6" t="s">
        <v>181</v>
      </c>
      <c r="B583" s="6" t="s">
        <v>181</v>
      </c>
      <c r="C583" s="6" t="s">
        <v>857</v>
      </c>
      <c r="D583" s="5" t="s">
        <v>660</v>
      </c>
      <c r="E583" s="7">
        <v>5.65</v>
      </c>
      <c r="F583" s="7"/>
      <c r="G583" s="7">
        <v>417214.24</v>
      </c>
      <c r="H583" s="7">
        <v>335503.72</v>
      </c>
      <c r="I583" s="7">
        <v>81710.52</v>
      </c>
      <c r="J583" s="7"/>
      <c r="K583" s="7">
        <v>23573</v>
      </c>
      <c r="L583" s="7">
        <v>18956</v>
      </c>
      <c r="M583" s="7">
        <v>4617</v>
      </c>
    </row>
    <row r="584" ht="18" customHeight="1" spans="1:13">
      <c r="A584" s="6" t="s">
        <v>181</v>
      </c>
      <c r="B584" s="6" t="s">
        <v>181</v>
      </c>
      <c r="C584" s="6" t="s">
        <v>562</v>
      </c>
      <c r="D584" s="5" t="s">
        <v>181</v>
      </c>
      <c r="E584" s="7"/>
      <c r="F584" s="7"/>
      <c r="G584" s="7"/>
      <c r="H584" s="7"/>
      <c r="I584" s="7"/>
      <c r="J584" s="7"/>
      <c r="K584" s="7">
        <v>443523</v>
      </c>
      <c r="L584" s="7">
        <v>354460</v>
      </c>
      <c r="M584" s="7">
        <v>86327</v>
      </c>
    </row>
    <row r="585" ht="18" customHeight="1" spans="1:13">
      <c r="A585" s="6" t="s">
        <v>181</v>
      </c>
      <c r="B585" s="6" t="s">
        <v>181</v>
      </c>
      <c r="C585" s="6" t="s">
        <v>181</v>
      </c>
      <c r="D585" s="5" t="s">
        <v>181</v>
      </c>
      <c r="E585" s="7"/>
      <c r="F585" s="7"/>
      <c r="G585" s="7"/>
      <c r="H585" s="7"/>
      <c r="I585" s="7"/>
      <c r="J585" s="7"/>
      <c r="K585" s="7"/>
      <c r="L585" s="7"/>
      <c r="M585" s="7"/>
    </row>
    <row r="586" ht="18" customHeight="1" spans="1:13">
      <c r="A586" s="6" t="s">
        <v>181</v>
      </c>
      <c r="B586" s="6" t="s">
        <v>354</v>
      </c>
      <c r="C586" s="6" t="s">
        <v>210</v>
      </c>
      <c r="D586" s="5" t="s">
        <v>181</v>
      </c>
      <c r="E586" s="7">
        <v>100</v>
      </c>
      <c r="F586" s="7"/>
      <c r="G586" s="7">
        <v>521991.42</v>
      </c>
      <c r="H586" s="7"/>
      <c r="I586" s="7"/>
      <c r="J586" s="7"/>
      <c r="K586" s="7">
        <v>521991</v>
      </c>
      <c r="L586" s="7"/>
      <c r="M586" s="7"/>
    </row>
    <row r="587" ht="18" customHeight="1" spans="1:13">
      <c r="A587" s="6" t="s">
        <v>181</v>
      </c>
      <c r="B587" s="6" t="s">
        <v>577</v>
      </c>
      <c r="C587" s="6" t="s">
        <v>578</v>
      </c>
      <c r="D587" s="5" t="s">
        <v>181</v>
      </c>
      <c r="E587" s="7">
        <v>100</v>
      </c>
      <c r="F587" s="7"/>
      <c r="G587" s="7">
        <v>443522.84</v>
      </c>
      <c r="H587" s="7"/>
      <c r="I587" s="7"/>
      <c r="J587" s="7"/>
      <c r="K587" s="7">
        <v>443523</v>
      </c>
      <c r="L587" s="7"/>
      <c r="M587" s="7"/>
    </row>
    <row r="588" ht="18" customHeight="1" spans="1:13">
      <c r="A588" s="6" t="s">
        <v>181</v>
      </c>
      <c r="B588" s="6" t="s">
        <v>579</v>
      </c>
      <c r="C588" s="6" t="s">
        <v>580</v>
      </c>
      <c r="D588" s="5" t="s">
        <v>181</v>
      </c>
      <c r="E588" s="7">
        <v>100</v>
      </c>
      <c r="F588" s="7"/>
      <c r="G588" s="7">
        <v>443522.84</v>
      </c>
      <c r="H588" s="7"/>
      <c r="I588" s="7"/>
      <c r="J588" s="7"/>
      <c r="K588" s="7">
        <v>443523</v>
      </c>
      <c r="L588" s="7"/>
      <c r="M588" s="7"/>
    </row>
    <row r="589" ht="18" customHeight="1" spans="1:13">
      <c r="A589" s="6" t="s">
        <v>181</v>
      </c>
      <c r="B589" s="6" t="s">
        <v>581</v>
      </c>
      <c r="C589" s="6" t="s">
        <v>582</v>
      </c>
      <c r="D589" s="5" t="s">
        <v>181</v>
      </c>
      <c r="E589" s="7">
        <v>100</v>
      </c>
      <c r="F589" s="7"/>
      <c r="G589" s="7">
        <v>354459.68</v>
      </c>
      <c r="H589" s="7"/>
      <c r="I589" s="7"/>
      <c r="J589" s="7"/>
      <c r="K589" s="7">
        <v>354460</v>
      </c>
      <c r="L589" s="7"/>
      <c r="M589" s="7"/>
    </row>
    <row r="590" ht="18" customHeight="1" spans="1:13">
      <c r="A590" s="6" t="s">
        <v>181</v>
      </c>
      <c r="B590" s="6" t="s">
        <v>583</v>
      </c>
      <c r="C590" s="6" t="s">
        <v>584</v>
      </c>
      <c r="D590" s="5" t="s">
        <v>181</v>
      </c>
      <c r="E590" s="7">
        <v>100</v>
      </c>
      <c r="F590" s="7"/>
      <c r="G590" s="7">
        <v>2736</v>
      </c>
      <c r="H590" s="7"/>
      <c r="I590" s="7"/>
      <c r="J590" s="7"/>
      <c r="K590" s="7">
        <v>2736</v>
      </c>
      <c r="L590" s="7"/>
      <c r="M590" s="7"/>
    </row>
    <row r="591" ht="18" customHeight="1" spans="1:13">
      <c r="A591" s="6" t="s">
        <v>181</v>
      </c>
      <c r="B591" s="6" t="s">
        <v>585</v>
      </c>
      <c r="C591" s="6" t="s">
        <v>586</v>
      </c>
      <c r="D591" s="5" t="s">
        <v>181</v>
      </c>
      <c r="E591" s="7">
        <v>100</v>
      </c>
      <c r="F591" s="7"/>
      <c r="G591" s="7">
        <v>86327.16</v>
      </c>
      <c r="H591" s="7"/>
      <c r="I591" s="7"/>
      <c r="J591" s="7"/>
      <c r="K591" s="7">
        <v>86327</v>
      </c>
      <c r="L591" s="7"/>
      <c r="M591" s="7"/>
    </row>
    <row r="592" ht="18" customHeight="1" spans="1:13">
      <c r="A592" s="6" t="s">
        <v>181</v>
      </c>
      <c r="B592" s="6" t="s">
        <v>593</v>
      </c>
      <c r="C592" s="6" t="s">
        <v>258</v>
      </c>
      <c r="D592" s="5" t="s">
        <v>181</v>
      </c>
      <c r="E592" s="7">
        <v>100</v>
      </c>
      <c r="F592" s="7"/>
      <c r="G592" s="7">
        <v>78468.58</v>
      </c>
      <c r="H592" s="7"/>
      <c r="I592" s="7"/>
      <c r="J592" s="7"/>
      <c r="K592" s="7">
        <v>78469</v>
      </c>
      <c r="L592" s="7"/>
      <c r="M592" s="7"/>
    </row>
    <row r="593" ht="18" customHeight="1" spans="1:13">
      <c r="A593" s="6" t="s">
        <v>181</v>
      </c>
      <c r="B593" s="6" t="s">
        <v>594</v>
      </c>
      <c r="C593" s="6" t="s">
        <v>595</v>
      </c>
      <c r="D593" s="5" t="s">
        <v>181</v>
      </c>
      <c r="E593" s="7">
        <v>3.57</v>
      </c>
      <c r="F593" s="7"/>
      <c r="G593" s="7">
        <v>354459.68</v>
      </c>
      <c r="H593" s="7"/>
      <c r="I593" s="7"/>
      <c r="J593" s="7"/>
      <c r="K593" s="7">
        <v>12654</v>
      </c>
      <c r="L593" s="7"/>
      <c r="M593" s="7"/>
    </row>
    <row r="594" ht="18" customHeight="1" spans="1:13">
      <c r="A594" s="6" t="s">
        <v>181</v>
      </c>
      <c r="B594" s="6" t="s">
        <v>598</v>
      </c>
      <c r="C594" s="6" t="s">
        <v>599</v>
      </c>
      <c r="D594" s="5" t="s">
        <v>181</v>
      </c>
      <c r="E594" s="7">
        <v>3.82</v>
      </c>
      <c r="F594" s="7"/>
      <c r="G594" s="7">
        <v>354459.68</v>
      </c>
      <c r="H594" s="7"/>
      <c r="I594" s="7"/>
      <c r="J594" s="7"/>
      <c r="K594" s="7">
        <v>13540</v>
      </c>
      <c r="L594" s="7"/>
      <c r="M594" s="7"/>
    </row>
    <row r="595" ht="18" customHeight="1" spans="1:13">
      <c r="A595" s="6" t="s">
        <v>181</v>
      </c>
      <c r="B595" s="6" t="s">
        <v>602</v>
      </c>
      <c r="C595" s="6" t="s">
        <v>76</v>
      </c>
      <c r="D595" s="5" t="s">
        <v>181</v>
      </c>
      <c r="E595" s="7">
        <v>6.35</v>
      </c>
      <c r="F595" s="7"/>
      <c r="G595" s="7">
        <v>443522.84</v>
      </c>
      <c r="H595" s="7"/>
      <c r="I595" s="7"/>
      <c r="J595" s="7"/>
      <c r="K595" s="7">
        <v>28164</v>
      </c>
      <c r="L595" s="7"/>
      <c r="M595" s="7"/>
    </row>
    <row r="596" ht="30.6" customHeight="1" spans="1:13">
      <c r="A596" s="6" t="s">
        <v>181</v>
      </c>
      <c r="B596" s="6" t="s">
        <v>603</v>
      </c>
      <c r="C596" s="6" t="s">
        <v>604</v>
      </c>
      <c r="D596" s="5" t="s">
        <v>181</v>
      </c>
      <c r="E596" s="7">
        <v>2.36</v>
      </c>
      <c r="F596" s="7"/>
      <c r="G596" s="7">
        <v>354459.68</v>
      </c>
      <c r="H596" s="7"/>
      <c r="I596" s="7"/>
      <c r="J596" s="7"/>
      <c r="K596" s="7">
        <v>8365</v>
      </c>
      <c r="L596" s="7"/>
      <c r="M596" s="7"/>
    </row>
    <row r="597" ht="30.6" customHeight="1" spans="1:13">
      <c r="A597" s="6" t="s">
        <v>181</v>
      </c>
      <c r="B597" s="6" t="s">
        <v>605</v>
      </c>
      <c r="C597" s="6" t="s">
        <v>213</v>
      </c>
      <c r="D597" s="5" t="s">
        <v>181</v>
      </c>
      <c r="E597" s="7">
        <v>3.55</v>
      </c>
      <c r="F597" s="7"/>
      <c r="G597" s="7">
        <v>443522.84</v>
      </c>
      <c r="H597" s="7"/>
      <c r="I597" s="7"/>
      <c r="J597" s="7"/>
      <c r="K597" s="7">
        <v>15745</v>
      </c>
      <c r="L597" s="7"/>
      <c r="M597" s="7"/>
    </row>
    <row r="598" ht="30.6" customHeight="1" spans="1:13">
      <c r="A598" s="6" t="s">
        <v>181</v>
      </c>
      <c r="B598" s="6" t="s">
        <v>606</v>
      </c>
      <c r="C598" s="6" t="s">
        <v>607</v>
      </c>
      <c r="D598" s="5" t="s">
        <v>181</v>
      </c>
      <c r="E598" s="7">
        <v>100</v>
      </c>
      <c r="F598" s="7"/>
      <c r="G598" s="7">
        <v>263580.97</v>
      </c>
      <c r="H598" s="7"/>
      <c r="I598" s="7"/>
      <c r="J598" s="7"/>
      <c r="K598" s="7">
        <v>263581</v>
      </c>
      <c r="L598" s="7"/>
      <c r="M598" s="7"/>
    </row>
    <row r="599" ht="18" customHeight="1" spans="1:13">
      <c r="A599" s="6" t="s">
        <v>181</v>
      </c>
      <c r="B599" s="6" t="s">
        <v>577</v>
      </c>
      <c r="C599" s="6" t="s">
        <v>608</v>
      </c>
      <c r="D599" s="5" t="s">
        <v>181</v>
      </c>
      <c r="E599" s="7">
        <v>100</v>
      </c>
      <c r="F599" s="7"/>
      <c r="G599" s="7">
        <v>132124.85</v>
      </c>
      <c r="H599" s="7"/>
      <c r="I599" s="7"/>
      <c r="J599" s="7"/>
      <c r="K599" s="7">
        <v>132125</v>
      </c>
      <c r="L599" s="7"/>
      <c r="M599" s="7"/>
    </row>
    <row r="600" ht="44.1" customHeight="1" spans="1:13">
      <c r="A600" s="6" t="s">
        <v>181</v>
      </c>
      <c r="B600" s="6" t="s">
        <v>579</v>
      </c>
      <c r="C600" s="6" t="s">
        <v>609</v>
      </c>
      <c r="D600" s="5" t="s">
        <v>181</v>
      </c>
      <c r="E600" s="7">
        <v>23.5</v>
      </c>
      <c r="F600" s="7"/>
      <c r="G600" s="7">
        <v>372182.66</v>
      </c>
      <c r="H600" s="7"/>
      <c r="I600" s="7"/>
      <c r="J600" s="7"/>
      <c r="K600" s="7">
        <v>87463</v>
      </c>
      <c r="L600" s="7"/>
      <c r="M600" s="7"/>
    </row>
    <row r="601" ht="18" customHeight="1" spans="1:13">
      <c r="A601" s="6" t="s">
        <v>181</v>
      </c>
      <c r="B601" s="6" t="s">
        <v>587</v>
      </c>
      <c r="C601" s="6" t="s">
        <v>610</v>
      </c>
      <c r="D601" s="5" t="s">
        <v>181</v>
      </c>
      <c r="E601" s="7">
        <v>12</v>
      </c>
      <c r="F601" s="7"/>
      <c r="G601" s="7">
        <v>372182.66</v>
      </c>
      <c r="H601" s="7"/>
      <c r="I601" s="7"/>
      <c r="J601" s="7"/>
      <c r="K601" s="7">
        <v>44662</v>
      </c>
      <c r="L601" s="7"/>
      <c r="M601" s="7"/>
    </row>
    <row r="602" ht="30.6" customHeight="1" spans="1:13">
      <c r="A602" s="6" t="s">
        <v>181</v>
      </c>
      <c r="B602" s="6" t="s">
        <v>593</v>
      </c>
      <c r="C602" s="6" t="s">
        <v>611</v>
      </c>
      <c r="D602" s="5" t="s">
        <v>181</v>
      </c>
      <c r="E602" s="7">
        <v>35.76</v>
      </c>
      <c r="F602" s="7"/>
      <c r="G602" s="7">
        <v>354459.68</v>
      </c>
      <c r="H602" s="7"/>
      <c r="I602" s="7"/>
      <c r="J602" s="7"/>
      <c r="K602" s="7">
        <v>126755</v>
      </c>
      <c r="L602" s="7"/>
      <c r="M602" s="7"/>
    </row>
    <row r="603" ht="30.6" customHeight="1" spans="1:13">
      <c r="A603" s="6" t="s">
        <v>181</v>
      </c>
      <c r="B603" s="6" t="s">
        <v>612</v>
      </c>
      <c r="C603" s="6" t="s">
        <v>613</v>
      </c>
      <c r="D603" s="5" t="s">
        <v>181</v>
      </c>
      <c r="E603" s="7">
        <v>1.06</v>
      </c>
      <c r="F603" s="7"/>
      <c r="G603" s="7">
        <v>443522.84</v>
      </c>
      <c r="H603" s="7"/>
      <c r="I603" s="7"/>
      <c r="J603" s="7"/>
      <c r="K603" s="7">
        <v>4701</v>
      </c>
      <c r="L603" s="7"/>
      <c r="M603" s="7"/>
    </row>
    <row r="604" ht="18" customHeight="1" spans="1:13">
      <c r="A604" s="6" t="s">
        <v>181</v>
      </c>
      <c r="B604" s="6" t="s">
        <v>614</v>
      </c>
      <c r="C604" s="6" t="s">
        <v>615</v>
      </c>
      <c r="D604" s="5" t="s">
        <v>181</v>
      </c>
      <c r="E604" s="7">
        <v>5</v>
      </c>
      <c r="F604" s="7"/>
      <c r="G604" s="7">
        <v>785572.39</v>
      </c>
      <c r="H604" s="7"/>
      <c r="I604" s="7"/>
      <c r="J604" s="7"/>
      <c r="K604" s="7">
        <v>39279</v>
      </c>
      <c r="L604" s="7"/>
      <c r="M604" s="7"/>
    </row>
    <row r="605" ht="18" customHeight="1" spans="1:13">
      <c r="A605" s="6" t="s">
        <v>181</v>
      </c>
      <c r="B605" s="6" t="s">
        <v>616</v>
      </c>
      <c r="C605" s="6" t="s">
        <v>617</v>
      </c>
      <c r="D605" s="5" t="s">
        <v>181</v>
      </c>
      <c r="E605" s="7">
        <v>100</v>
      </c>
      <c r="F605" s="7"/>
      <c r="G605" s="7">
        <v>42301.08</v>
      </c>
      <c r="H605" s="7"/>
      <c r="I605" s="7"/>
      <c r="J605" s="7"/>
      <c r="K605" s="7">
        <v>42301</v>
      </c>
      <c r="L605" s="7"/>
      <c r="M605" s="7"/>
    </row>
    <row r="606" ht="18" customHeight="1" spans="1:13">
      <c r="A606" s="6" t="s">
        <v>181</v>
      </c>
      <c r="B606" s="6" t="s">
        <v>577</v>
      </c>
      <c r="C606" s="6" t="s">
        <v>618</v>
      </c>
      <c r="D606" s="5" t="s">
        <v>181</v>
      </c>
      <c r="E606" s="7">
        <v>100</v>
      </c>
      <c r="F606" s="7"/>
      <c r="G606" s="7">
        <v>37749.96</v>
      </c>
      <c r="H606" s="7"/>
      <c r="I606" s="7"/>
      <c r="J606" s="7"/>
      <c r="K606" s="7">
        <v>37750</v>
      </c>
      <c r="L606" s="7"/>
      <c r="M606" s="7"/>
    </row>
    <row r="607" ht="18" customHeight="1" spans="1:13">
      <c r="A607" s="6" t="s">
        <v>181</v>
      </c>
      <c r="B607" s="6" t="s">
        <v>593</v>
      </c>
      <c r="C607" s="6" t="s">
        <v>619</v>
      </c>
      <c r="D607" s="5" t="s">
        <v>181</v>
      </c>
      <c r="E607" s="7">
        <v>100</v>
      </c>
      <c r="F607" s="7"/>
      <c r="G607" s="7">
        <v>139.81</v>
      </c>
      <c r="H607" s="7"/>
      <c r="I607" s="7"/>
      <c r="J607" s="7"/>
      <c r="K607" s="7">
        <v>140</v>
      </c>
      <c r="L607" s="7"/>
      <c r="M607" s="7"/>
    </row>
    <row r="608" ht="18" customHeight="1" spans="1:13">
      <c r="A608" s="6" t="s">
        <v>181</v>
      </c>
      <c r="B608" s="6" t="s">
        <v>612</v>
      </c>
      <c r="C608" s="6" t="s">
        <v>620</v>
      </c>
      <c r="D608" s="5" t="s">
        <v>181</v>
      </c>
      <c r="E608" s="7">
        <v>100</v>
      </c>
      <c r="F608" s="7"/>
      <c r="G608" s="7">
        <v>4411.32</v>
      </c>
      <c r="H608" s="7"/>
      <c r="I608" s="7"/>
      <c r="J608" s="7"/>
      <c r="K608" s="7">
        <v>4411</v>
      </c>
      <c r="L608" s="7"/>
      <c r="M608" s="7"/>
    </row>
    <row r="609" ht="18" customHeight="1" spans="1:13">
      <c r="A609" s="6" t="s">
        <v>181</v>
      </c>
      <c r="B609" s="6" t="s">
        <v>627</v>
      </c>
      <c r="C609" s="6" t="s">
        <v>216</v>
      </c>
      <c r="D609" s="5" t="s">
        <v>181</v>
      </c>
      <c r="E609" s="7">
        <v>9</v>
      </c>
      <c r="F609" s="7"/>
      <c r="G609" s="7">
        <v>867152.1</v>
      </c>
      <c r="H609" s="7"/>
      <c r="I609" s="7"/>
      <c r="J609" s="7"/>
      <c r="K609" s="7">
        <v>78044</v>
      </c>
      <c r="L609" s="7"/>
      <c r="M609" s="7"/>
    </row>
    <row r="610" ht="18" customHeight="1" spans="1:13">
      <c r="A610" s="6" t="s">
        <v>181</v>
      </c>
      <c r="B610" s="6" t="s">
        <v>662</v>
      </c>
      <c r="C610" s="6" t="s">
        <v>640</v>
      </c>
      <c r="D610" s="5" t="s">
        <v>181</v>
      </c>
      <c r="E610" s="7">
        <v>100</v>
      </c>
      <c r="F610" s="7"/>
      <c r="G610" s="7">
        <v>945195.79</v>
      </c>
      <c r="H610" s="7"/>
      <c r="I610" s="7"/>
      <c r="J610" s="7"/>
      <c r="K610" s="7">
        <v>945196</v>
      </c>
      <c r="L610" s="7"/>
      <c r="M610" s="7"/>
    </row>
    <row r="611" ht="18" customHeight="1" spans="1:13">
      <c r="A611" s="6" t="s">
        <v>181</v>
      </c>
      <c r="B611" s="6" t="s">
        <v>631</v>
      </c>
      <c r="C611" s="6" t="s">
        <v>100</v>
      </c>
      <c r="D611" s="5" t="s">
        <v>181</v>
      </c>
      <c r="E611" s="7">
        <v>100</v>
      </c>
      <c r="F611" s="7"/>
      <c r="G611" s="7">
        <v>945195.79</v>
      </c>
      <c r="H611" s="7"/>
      <c r="I611" s="7"/>
      <c r="J611" s="7"/>
      <c r="K611" s="7">
        <v>945196</v>
      </c>
      <c r="L611" s="7"/>
      <c r="M611" s="7"/>
    </row>
    <row r="612" ht="18" customHeight="1" spans="1:13">
      <c r="A612" s="6" t="s">
        <v>181</v>
      </c>
      <c r="B612" s="6" t="s">
        <v>663</v>
      </c>
      <c r="C612" s="6" t="s">
        <v>173</v>
      </c>
      <c r="D612" s="5" t="s">
        <v>181</v>
      </c>
      <c r="E612" s="7">
        <v>100</v>
      </c>
      <c r="F612" s="7"/>
      <c r="G612" s="7">
        <v>945195.79</v>
      </c>
      <c r="H612" s="7"/>
      <c r="I612" s="7"/>
      <c r="J612" s="7"/>
      <c r="K612" s="7">
        <v>945196</v>
      </c>
      <c r="L612" s="7"/>
      <c r="M612" s="7"/>
    </row>
    <row r="613" ht="18" customHeight="1" spans="1:13">
      <c r="A613" s="6" t="s">
        <v>181</v>
      </c>
      <c r="B613" s="6" t="s">
        <v>181</v>
      </c>
      <c r="C613" s="6" t="s">
        <v>181</v>
      </c>
      <c r="D613" s="5" t="s">
        <v>181</v>
      </c>
      <c r="E613" s="7"/>
      <c r="F613" s="7"/>
      <c r="G613" s="7"/>
      <c r="H613" s="7"/>
      <c r="I613" s="7"/>
      <c r="J613" s="7"/>
      <c r="K613" s="7"/>
      <c r="L613" s="7"/>
      <c r="M613" s="7"/>
    </row>
    <row r="614" ht="18" customHeight="1" spans="1:13">
      <c r="A614" s="6" t="s">
        <v>858</v>
      </c>
      <c r="B614" s="6" t="s">
        <v>181</v>
      </c>
      <c r="C614" s="6" t="s">
        <v>859</v>
      </c>
      <c r="D614" s="5" t="s">
        <v>181</v>
      </c>
      <c r="E614" s="7"/>
      <c r="F614" s="7"/>
      <c r="G614" s="7"/>
      <c r="H614" s="7"/>
      <c r="I614" s="7"/>
      <c r="J614" s="7">
        <v>786728</v>
      </c>
      <c r="K614" s="7">
        <v>988847</v>
      </c>
      <c r="L614" s="7">
        <v>21183</v>
      </c>
      <c r="M614" s="7">
        <v>3812</v>
      </c>
    </row>
    <row r="615" ht="18" customHeight="1" spans="1:13">
      <c r="A615" s="6" t="s">
        <v>181</v>
      </c>
      <c r="B615" s="6" t="s">
        <v>181</v>
      </c>
      <c r="C615" s="6" t="s">
        <v>860</v>
      </c>
      <c r="D615" s="5" t="s">
        <v>181</v>
      </c>
      <c r="E615" s="7"/>
      <c r="F615" s="7"/>
      <c r="G615" s="7"/>
      <c r="H615" s="7"/>
      <c r="I615" s="7"/>
      <c r="J615" s="7"/>
      <c r="K615" s="7"/>
      <c r="L615" s="7"/>
      <c r="M615" s="7"/>
    </row>
    <row r="616" ht="18" customHeight="1" spans="1:13">
      <c r="A616" s="6" t="s">
        <v>181</v>
      </c>
      <c r="B616" s="6" t="s">
        <v>861</v>
      </c>
      <c r="C616" s="6" t="s">
        <v>862</v>
      </c>
      <c r="D616" s="5" t="s">
        <v>863</v>
      </c>
      <c r="E616" s="7">
        <v>296</v>
      </c>
      <c r="F616" s="7"/>
      <c r="G616" s="7">
        <v>21.27</v>
      </c>
      <c r="H616" s="7">
        <v>14.49</v>
      </c>
      <c r="I616" s="7">
        <v>6.5</v>
      </c>
      <c r="J616" s="7"/>
      <c r="K616" s="7">
        <v>6296</v>
      </c>
      <c r="L616" s="7">
        <v>4289</v>
      </c>
      <c r="M616" s="7">
        <v>1924</v>
      </c>
    </row>
    <row r="617" ht="18" customHeight="1" spans="1:13">
      <c r="A617" s="6" t="s">
        <v>181</v>
      </c>
      <c r="B617" s="6" t="s">
        <v>864</v>
      </c>
      <c r="C617" s="6" t="s">
        <v>865</v>
      </c>
      <c r="D617" s="5" t="s">
        <v>863</v>
      </c>
      <c r="E617" s="7">
        <v>88</v>
      </c>
      <c r="F617" s="7"/>
      <c r="G617" s="7">
        <v>36.86</v>
      </c>
      <c r="H617" s="7">
        <v>24.16</v>
      </c>
      <c r="I617" s="7">
        <v>12.22</v>
      </c>
      <c r="J617" s="7"/>
      <c r="K617" s="7">
        <v>3244</v>
      </c>
      <c r="L617" s="7">
        <v>2126</v>
      </c>
      <c r="M617" s="7">
        <v>1075</v>
      </c>
    </row>
    <row r="618" ht="18" customHeight="1" spans="1:13">
      <c r="A618" s="6" t="s">
        <v>181</v>
      </c>
      <c r="B618" s="6" t="s">
        <v>181</v>
      </c>
      <c r="C618" s="6" t="s">
        <v>866</v>
      </c>
      <c r="D618" s="5" t="s">
        <v>181</v>
      </c>
      <c r="E618" s="7"/>
      <c r="F618" s="7"/>
      <c r="G618" s="7"/>
      <c r="H618" s="7"/>
      <c r="I618" s="7"/>
      <c r="J618" s="7"/>
      <c r="K618" s="7"/>
      <c r="L618" s="7"/>
      <c r="M618" s="7"/>
    </row>
    <row r="619" ht="18" customHeight="1" spans="1:13">
      <c r="A619" s="6" t="s">
        <v>181</v>
      </c>
      <c r="B619" s="6" t="s">
        <v>867</v>
      </c>
      <c r="C619" s="6" t="s">
        <v>868</v>
      </c>
      <c r="D619" s="5" t="s">
        <v>856</v>
      </c>
      <c r="E619" s="7">
        <v>321</v>
      </c>
      <c r="F619" s="7"/>
      <c r="G619" s="7">
        <v>21.78</v>
      </c>
      <c r="H619" s="7">
        <v>19.17</v>
      </c>
      <c r="I619" s="7">
        <v>1.07</v>
      </c>
      <c r="J619" s="7"/>
      <c r="K619" s="7">
        <v>6991</v>
      </c>
      <c r="L619" s="7">
        <v>6154</v>
      </c>
      <c r="M619" s="7">
        <v>343</v>
      </c>
    </row>
    <row r="620" ht="18" customHeight="1" spans="1:13">
      <c r="A620" s="6" t="s">
        <v>181</v>
      </c>
      <c r="B620" s="6" t="s">
        <v>181</v>
      </c>
      <c r="C620" s="6" t="s">
        <v>869</v>
      </c>
      <c r="D620" s="5" t="s">
        <v>181</v>
      </c>
      <c r="E620" s="7"/>
      <c r="F620" s="7"/>
      <c r="G620" s="7"/>
      <c r="H620" s="7"/>
      <c r="I620" s="7"/>
      <c r="J620" s="7"/>
      <c r="K620" s="7"/>
      <c r="L620" s="7"/>
      <c r="M620" s="7"/>
    </row>
    <row r="621" ht="18" customHeight="1" spans="1:13">
      <c r="A621" s="6" t="s">
        <v>181</v>
      </c>
      <c r="B621" s="6" t="s">
        <v>870</v>
      </c>
      <c r="C621" s="6" t="s">
        <v>871</v>
      </c>
      <c r="D621" s="5" t="s">
        <v>731</v>
      </c>
      <c r="E621" s="7">
        <v>1004</v>
      </c>
      <c r="F621" s="7"/>
      <c r="G621" s="7">
        <v>8.59</v>
      </c>
      <c r="H621" s="7">
        <v>7.45</v>
      </c>
      <c r="I621" s="7">
        <v>0.26</v>
      </c>
      <c r="J621" s="7"/>
      <c r="K621" s="7">
        <v>8626</v>
      </c>
      <c r="L621" s="7">
        <v>7482</v>
      </c>
      <c r="M621" s="7">
        <v>265</v>
      </c>
    </row>
    <row r="622" ht="18" customHeight="1" spans="1:13">
      <c r="A622" s="6" t="s">
        <v>181</v>
      </c>
      <c r="B622" s="6" t="s">
        <v>181</v>
      </c>
      <c r="C622" s="6" t="s">
        <v>857</v>
      </c>
      <c r="D622" s="5" t="s">
        <v>660</v>
      </c>
      <c r="E622" s="7">
        <v>5.65</v>
      </c>
      <c r="F622" s="7"/>
      <c r="G622" s="7">
        <v>23658.38</v>
      </c>
      <c r="H622" s="7">
        <v>20050.5</v>
      </c>
      <c r="I622" s="7">
        <v>3607.89</v>
      </c>
      <c r="J622" s="7"/>
      <c r="K622" s="7">
        <v>1337</v>
      </c>
      <c r="L622" s="7">
        <v>1133</v>
      </c>
      <c r="M622" s="7">
        <v>204</v>
      </c>
    </row>
    <row r="623" ht="18" customHeight="1" spans="1:13">
      <c r="A623" s="6" t="s">
        <v>181</v>
      </c>
      <c r="B623" s="6" t="s">
        <v>181</v>
      </c>
      <c r="C623" s="6" t="s">
        <v>702</v>
      </c>
      <c r="D623" s="5" t="s">
        <v>181</v>
      </c>
      <c r="E623" s="7"/>
      <c r="F623" s="7"/>
      <c r="G623" s="7"/>
      <c r="H623" s="7"/>
      <c r="I623" s="7"/>
      <c r="J623" s="7">
        <v>13921</v>
      </c>
      <c r="K623" s="7"/>
      <c r="L623" s="7"/>
      <c r="M623" s="7"/>
    </row>
    <row r="624" ht="18" customHeight="1" spans="1:13">
      <c r="A624" s="6" t="s">
        <v>181</v>
      </c>
      <c r="B624" s="6" t="s">
        <v>181</v>
      </c>
      <c r="C624" s="6" t="s">
        <v>703</v>
      </c>
      <c r="D624" s="5" t="s">
        <v>181</v>
      </c>
      <c r="E624" s="7"/>
      <c r="F624" s="7"/>
      <c r="G624" s="7"/>
      <c r="H624" s="7"/>
      <c r="I624" s="7"/>
      <c r="J624" s="7">
        <v>786728</v>
      </c>
      <c r="K624" s="7"/>
      <c r="L624" s="7"/>
      <c r="M624" s="7"/>
    </row>
    <row r="625" ht="18" customHeight="1" spans="1:13">
      <c r="A625" s="6" t="s">
        <v>181</v>
      </c>
      <c r="B625" s="6" t="s">
        <v>181</v>
      </c>
      <c r="C625" s="6" t="s">
        <v>562</v>
      </c>
      <c r="D625" s="5" t="s">
        <v>181</v>
      </c>
      <c r="E625" s="7"/>
      <c r="F625" s="7"/>
      <c r="G625" s="7"/>
      <c r="H625" s="7"/>
      <c r="I625" s="7"/>
      <c r="J625" s="7">
        <v>786728</v>
      </c>
      <c r="K625" s="7">
        <v>26494</v>
      </c>
      <c r="L625" s="7">
        <v>21183</v>
      </c>
      <c r="M625" s="7">
        <v>3812</v>
      </c>
    </row>
    <row r="626" ht="18" customHeight="1" spans="1:13">
      <c r="A626" s="6" t="s">
        <v>181</v>
      </c>
      <c r="B626" s="6" t="s">
        <v>181</v>
      </c>
      <c r="C626" s="6" t="s">
        <v>181</v>
      </c>
      <c r="D626" s="5" t="s">
        <v>181</v>
      </c>
      <c r="E626" s="7"/>
      <c r="F626" s="7"/>
      <c r="G626" s="7"/>
      <c r="H626" s="7"/>
      <c r="I626" s="7"/>
      <c r="J626" s="7"/>
      <c r="K626" s="7"/>
      <c r="L626" s="7"/>
      <c r="M626" s="7"/>
    </row>
    <row r="627" ht="18" customHeight="1" spans="1:13">
      <c r="A627" s="6" t="s">
        <v>181</v>
      </c>
      <c r="B627" s="6" t="s">
        <v>354</v>
      </c>
      <c r="C627" s="6" t="s">
        <v>210</v>
      </c>
      <c r="D627" s="5" t="s">
        <v>181</v>
      </c>
      <c r="E627" s="7">
        <v>100</v>
      </c>
      <c r="F627" s="7"/>
      <c r="G627" s="7">
        <v>845839.62</v>
      </c>
      <c r="H627" s="7"/>
      <c r="I627" s="7"/>
      <c r="J627" s="7"/>
      <c r="K627" s="7">
        <v>845840</v>
      </c>
      <c r="L627" s="7"/>
      <c r="M627" s="7"/>
    </row>
    <row r="628" ht="18" customHeight="1" spans="1:13">
      <c r="A628" s="6" t="s">
        <v>181</v>
      </c>
      <c r="B628" s="6" t="s">
        <v>577</v>
      </c>
      <c r="C628" s="6" t="s">
        <v>578</v>
      </c>
      <c r="D628" s="5" t="s">
        <v>181</v>
      </c>
      <c r="E628" s="7">
        <v>100</v>
      </c>
      <c r="F628" s="7"/>
      <c r="G628" s="7">
        <v>813222.48</v>
      </c>
      <c r="H628" s="7"/>
      <c r="I628" s="7"/>
      <c r="J628" s="7"/>
      <c r="K628" s="7">
        <v>813222</v>
      </c>
      <c r="L628" s="7"/>
      <c r="M628" s="7"/>
    </row>
    <row r="629" ht="18" customHeight="1" spans="1:13">
      <c r="A629" s="6" t="s">
        <v>181</v>
      </c>
      <c r="B629" s="6" t="s">
        <v>579</v>
      </c>
      <c r="C629" s="6" t="s">
        <v>580</v>
      </c>
      <c r="D629" s="5" t="s">
        <v>181</v>
      </c>
      <c r="E629" s="7">
        <v>100</v>
      </c>
      <c r="F629" s="7"/>
      <c r="G629" s="7">
        <v>26494.05</v>
      </c>
      <c r="H629" s="7"/>
      <c r="I629" s="7"/>
      <c r="J629" s="7"/>
      <c r="K629" s="7">
        <v>26494</v>
      </c>
      <c r="L629" s="7"/>
      <c r="M629" s="7"/>
    </row>
    <row r="630" ht="18" customHeight="1" spans="1:13">
      <c r="A630" s="6" t="s">
        <v>181</v>
      </c>
      <c r="B630" s="6" t="s">
        <v>581</v>
      </c>
      <c r="C630" s="6" t="s">
        <v>582</v>
      </c>
      <c r="D630" s="5" t="s">
        <v>181</v>
      </c>
      <c r="E630" s="7">
        <v>100</v>
      </c>
      <c r="F630" s="7"/>
      <c r="G630" s="7">
        <v>21183.35</v>
      </c>
      <c r="H630" s="7"/>
      <c r="I630" s="7"/>
      <c r="J630" s="7"/>
      <c r="K630" s="7">
        <v>21183</v>
      </c>
      <c r="L630" s="7"/>
      <c r="M630" s="7"/>
    </row>
    <row r="631" ht="18" customHeight="1" spans="1:13">
      <c r="A631" s="6" t="s">
        <v>181</v>
      </c>
      <c r="B631" s="6" t="s">
        <v>583</v>
      </c>
      <c r="C631" s="6" t="s">
        <v>584</v>
      </c>
      <c r="D631" s="5" t="s">
        <v>181</v>
      </c>
      <c r="E631" s="7">
        <v>100</v>
      </c>
      <c r="F631" s="7"/>
      <c r="G631" s="7">
        <v>1498.96</v>
      </c>
      <c r="H631" s="7"/>
      <c r="I631" s="7"/>
      <c r="J631" s="7"/>
      <c r="K631" s="7">
        <v>1499</v>
      </c>
      <c r="L631" s="7"/>
      <c r="M631" s="7"/>
    </row>
    <row r="632" ht="18" customHeight="1" spans="1:13">
      <c r="A632" s="6" t="s">
        <v>181</v>
      </c>
      <c r="B632" s="6" t="s">
        <v>585</v>
      </c>
      <c r="C632" s="6" t="s">
        <v>586</v>
      </c>
      <c r="D632" s="5" t="s">
        <v>181</v>
      </c>
      <c r="E632" s="7">
        <v>100</v>
      </c>
      <c r="F632" s="7"/>
      <c r="G632" s="7">
        <v>3811.73</v>
      </c>
      <c r="H632" s="7"/>
      <c r="I632" s="7"/>
      <c r="J632" s="7"/>
      <c r="K632" s="7">
        <v>3812</v>
      </c>
      <c r="L632" s="7"/>
      <c r="M632" s="7"/>
    </row>
    <row r="633" ht="18" customHeight="1" spans="1:13">
      <c r="A633" s="6" t="s">
        <v>181</v>
      </c>
      <c r="B633" s="6" t="s">
        <v>587</v>
      </c>
      <c r="C633" s="6" t="s">
        <v>588</v>
      </c>
      <c r="D633" s="5" t="s">
        <v>181</v>
      </c>
      <c r="E633" s="7">
        <v>100</v>
      </c>
      <c r="F633" s="7"/>
      <c r="G633" s="7">
        <v>786728.43</v>
      </c>
      <c r="H633" s="7"/>
      <c r="I633" s="7"/>
      <c r="J633" s="7"/>
      <c r="K633" s="7">
        <v>786728</v>
      </c>
      <c r="L633" s="7"/>
      <c r="M633" s="7"/>
    </row>
    <row r="634" ht="18" customHeight="1" spans="1:13">
      <c r="A634" s="6" t="s">
        <v>181</v>
      </c>
      <c r="B634" s="6" t="s">
        <v>591</v>
      </c>
      <c r="C634" s="6" t="s">
        <v>592</v>
      </c>
      <c r="D634" s="5" t="s">
        <v>181</v>
      </c>
      <c r="E634" s="7">
        <v>100</v>
      </c>
      <c r="F634" s="7"/>
      <c r="G634" s="7">
        <v>786728.43</v>
      </c>
      <c r="H634" s="7"/>
      <c r="I634" s="7"/>
      <c r="J634" s="7"/>
      <c r="K634" s="7">
        <v>786728</v>
      </c>
      <c r="L634" s="7"/>
      <c r="M634" s="7"/>
    </row>
    <row r="635" ht="18" customHeight="1" spans="1:13">
      <c r="A635" s="6" t="s">
        <v>181</v>
      </c>
      <c r="B635" s="6" t="s">
        <v>593</v>
      </c>
      <c r="C635" s="6" t="s">
        <v>258</v>
      </c>
      <c r="D635" s="5" t="s">
        <v>181</v>
      </c>
      <c r="E635" s="7">
        <v>100</v>
      </c>
      <c r="F635" s="7"/>
      <c r="G635" s="7">
        <v>32617.15</v>
      </c>
      <c r="H635" s="7"/>
      <c r="I635" s="7"/>
      <c r="J635" s="7"/>
      <c r="K635" s="7">
        <v>32617</v>
      </c>
      <c r="L635" s="7"/>
      <c r="M635" s="7"/>
    </row>
    <row r="636" ht="18" customHeight="1" spans="1:13">
      <c r="A636" s="6" t="s">
        <v>181</v>
      </c>
      <c r="B636" s="6" t="s">
        <v>594</v>
      </c>
      <c r="C636" s="6" t="s">
        <v>595</v>
      </c>
      <c r="D636" s="5" t="s">
        <v>181</v>
      </c>
      <c r="E636" s="7">
        <v>3.57</v>
      </c>
      <c r="F636" s="7"/>
      <c r="G636" s="7">
        <v>21183.35</v>
      </c>
      <c r="H636" s="7"/>
      <c r="I636" s="7"/>
      <c r="J636" s="7"/>
      <c r="K636" s="7">
        <v>756</v>
      </c>
      <c r="L636" s="7"/>
      <c r="M636" s="7"/>
    </row>
    <row r="637" ht="18" customHeight="1" spans="1:13">
      <c r="A637" s="6" t="s">
        <v>181</v>
      </c>
      <c r="B637" s="6" t="s">
        <v>598</v>
      </c>
      <c r="C637" s="6" t="s">
        <v>599</v>
      </c>
      <c r="D637" s="5" t="s">
        <v>181</v>
      </c>
      <c r="E637" s="7">
        <v>3.82</v>
      </c>
      <c r="F637" s="7"/>
      <c r="G637" s="7">
        <v>21183.35</v>
      </c>
      <c r="H637" s="7"/>
      <c r="I637" s="7"/>
      <c r="J637" s="7"/>
      <c r="K637" s="7">
        <v>809</v>
      </c>
      <c r="L637" s="7"/>
      <c r="M637" s="7"/>
    </row>
    <row r="638" ht="18" customHeight="1" spans="1:13">
      <c r="A638" s="6" t="s">
        <v>181</v>
      </c>
      <c r="B638" s="6" t="s">
        <v>602</v>
      </c>
      <c r="C638" s="6" t="s">
        <v>76</v>
      </c>
      <c r="D638" s="5" t="s">
        <v>181</v>
      </c>
      <c r="E638" s="7">
        <v>6.35</v>
      </c>
      <c r="F638" s="7"/>
      <c r="G638" s="7">
        <v>26494.05</v>
      </c>
      <c r="H638" s="7"/>
      <c r="I638" s="7"/>
      <c r="J638" s="7"/>
      <c r="K638" s="7">
        <v>1682</v>
      </c>
      <c r="L638" s="7"/>
      <c r="M638" s="7"/>
    </row>
    <row r="639" ht="18" customHeight="1" spans="1:13">
      <c r="A639" s="6" t="s">
        <v>181</v>
      </c>
      <c r="B639" s="6" t="s">
        <v>603</v>
      </c>
      <c r="C639" s="6" t="s">
        <v>604</v>
      </c>
      <c r="D639" s="5" t="s">
        <v>181</v>
      </c>
      <c r="E639" s="7">
        <v>2.36</v>
      </c>
      <c r="F639" s="7"/>
      <c r="G639" s="7">
        <v>21183.35</v>
      </c>
      <c r="H639" s="7"/>
      <c r="I639" s="7"/>
      <c r="J639" s="7"/>
      <c r="K639" s="7">
        <v>500</v>
      </c>
      <c r="L639" s="7"/>
      <c r="M639" s="7"/>
    </row>
    <row r="640" ht="18" customHeight="1" spans="1:13">
      <c r="A640" s="6" t="s">
        <v>181</v>
      </c>
      <c r="B640" s="6" t="s">
        <v>605</v>
      </c>
      <c r="C640" s="6" t="s">
        <v>213</v>
      </c>
      <c r="D640" s="5" t="s">
        <v>181</v>
      </c>
      <c r="E640" s="7">
        <v>3.55</v>
      </c>
      <c r="F640" s="7"/>
      <c r="G640" s="7">
        <v>813222.48</v>
      </c>
      <c r="H640" s="7"/>
      <c r="I640" s="7"/>
      <c r="J640" s="7"/>
      <c r="K640" s="7">
        <v>28869</v>
      </c>
      <c r="L640" s="7"/>
      <c r="M640" s="7"/>
    </row>
    <row r="641" ht="18" customHeight="1" spans="1:13">
      <c r="A641" s="6" t="s">
        <v>181</v>
      </c>
      <c r="B641" s="6" t="s">
        <v>606</v>
      </c>
      <c r="C641" s="6" t="s">
        <v>607</v>
      </c>
      <c r="D641" s="5" t="s">
        <v>181</v>
      </c>
      <c r="E641" s="7">
        <v>100</v>
      </c>
      <c r="F641" s="7"/>
      <c r="G641" s="7">
        <v>15752.1</v>
      </c>
      <c r="H641" s="7"/>
      <c r="I641" s="7"/>
      <c r="J641" s="7"/>
      <c r="K641" s="7">
        <v>15752</v>
      </c>
      <c r="L641" s="7"/>
      <c r="M641" s="7"/>
    </row>
    <row r="642" ht="18" customHeight="1" spans="1:13">
      <c r="A642" s="6" t="s">
        <v>181</v>
      </c>
      <c r="B642" s="6" t="s">
        <v>577</v>
      </c>
      <c r="C642" s="6" t="s">
        <v>608</v>
      </c>
      <c r="D642" s="5" t="s">
        <v>181</v>
      </c>
      <c r="E642" s="7">
        <v>100</v>
      </c>
      <c r="F642" s="7"/>
      <c r="G642" s="7">
        <v>7896.09</v>
      </c>
      <c r="H642" s="7"/>
      <c r="I642" s="7"/>
      <c r="J642" s="7"/>
      <c r="K642" s="7">
        <v>7896</v>
      </c>
      <c r="L642" s="7"/>
      <c r="M642" s="7"/>
    </row>
    <row r="643" ht="18" customHeight="1" spans="1:13">
      <c r="A643" s="6" t="s">
        <v>181</v>
      </c>
      <c r="B643" s="6" t="s">
        <v>579</v>
      </c>
      <c r="C643" s="6" t="s">
        <v>609</v>
      </c>
      <c r="D643" s="5" t="s">
        <v>181</v>
      </c>
      <c r="E643" s="7">
        <v>23.5</v>
      </c>
      <c r="F643" s="7"/>
      <c r="G643" s="7">
        <v>22242.52</v>
      </c>
      <c r="H643" s="7"/>
      <c r="I643" s="7"/>
      <c r="J643" s="7"/>
      <c r="K643" s="7">
        <v>5227</v>
      </c>
      <c r="L643" s="7"/>
      <c r="M643" s="7"/>
    </row>
    <row r="644" ht="18" customHeight="1" spans="1:13">
      <c r="A644" s="6" t="s">
        <v>181</v>
      </c>
      <c r="B644" s="6" t="s">
        <v>587</v>
      </c>
      <c r="C644" s="6" t="s">
        <v>610</v>
      </c>
      <c r="D644" s="5" t="s">
        <v>181</v>
      </c>
      <c r="E644" s="7">
        <v>12</v>
      </c>
      <c r="F644" s="7"/>
      <c r="G644" s="7">
        <v>22242.52</v>
      </c>
      <c r="H644" s="7"/>
      <c r="I644" s="7"/>
      <c r="J644" s="7"/>
      <c r="K644" s="7">
        <v>2669</v>
      </c>
      <c r="L644" s="7"/>
      <c r="M644" s="7"/>
    </row>
    <row r="645" ht="18" customHeight="1" spans="1:13">
      <c r="A645" s="6" t="s">
        <v>181</v>
      </c>
      <c r="B645" s="6" t="s">
        <v>593</v>
      </c>
      <c r="C645" s="6" t="s">
        <v>611</v>
      </c>
      <c r="D645" s="5" t="s">
        <v>181</v>
      </c>
      <c r="E645" s="7">
        <v>35.76</v>
      </c>
      <c r="F645" s="7"/>
      <c r="G645" s="7">
        <v>21183.35</v>
      </c>
      <c r="H645" s="7"/>
      <c r="I645" s="7"/>
      <c r="J645" s="7"/>
      <c r="K645" s="7">
        <v>7575</v>
      </c>
      <c r="L645" s="7"/>
      <c r="M645" s="7"/>
    </row>
    <row r="646" ht="18" customHeight="1" spans="1:13">
      <c r="A646" s="6" t="s">
        <v>181</v>
      </c>
      <c r="B646" s="6" t="s">
        <v>612</v>
      </c>
      <c r="C646" s="6" t="s">
        <v>613</v>
      </c>
      <c r="D646" s="5" t="s">
        <v>181</v>
      </c>
      <c r="E646" s="7">
        <v>1.06</v>
      </c>
      <c r="F646" s="7"/>
      <c r="G646" s="7">
        <v>26494.05</v>
      </c>
      <c r="H646" s="7"/>
      <c r="I646" s="7"/>
      <c r="J646" s="7"/>
      <c r="K646" s="7">
        <v>281</v>
      </c>
      <c r="L646" s="7"/>
      <c r="M646" s="7"/>
    </row>
    <row r="647" ht="18" customHeight="1" spans="1:13">
      <c r="A647" s="6" t="s">
        <v>181</v>
      </c>
      <c r="B647" s="6" t="s">
        <v>614</v>
      </c>
      <c r="C647" s="6" t="s">
        <v>615</v>
      </c>
      <c r="D647" s="5" t="s">
        <v>181</v>
      </c>
      <c r="E647" s="7">
        <v>5</v>
      </c>
      <c r="F647" s="7"/>
      <c r="G647" s="7">
        <v>861591.72</v>
      </c>
      <c r="H647" s="7"/>
      <c r="I647" s="7"/>
      <c r="J647" s="7"/>
      <c r="K647" s="7">
        <v>43080</v>
      </c>
      <c r="L647" s="7"/>
      <c r="M647" s="7"/>
    </row>
    <row r="648" ht="18" customHeight="1" spans="1:13">
      <c r="A648" s="6" t="s">
        <v>181</v>
      </c>
      <c r="B648" s="6" t="s">
        <v>616</v>
      </c>
      <c r="C648" s="6" t="s">
        <v>617</v>
      </c>
      <c r="D648" s="5" t="s">
        <v>181</v>
      </c>
      <c r="E648" s="7">
        <v>100</v>
      </c>
      <c r="F648" s="7"/>
      <c r="G648" s="7">
        <v>2527.4</v>
      </c>
      <c r="H648" s="7"/>
      <c r="I648" s="7"/>
      <c r="J648" s="7"/>
      <c r="K648" s="7">
        <v>2527</v>
      </c>
      <c r="L648" s="7"/>
      <c r="M648" s="7"/>
    </row>
    <row r="649" ht="18" customHeight="1" spans="1:13">
      <c r="A649" s="6" t="s">
        <v>181</v>
      </c>
      <c r="B649" s="6" t="s">
        <v>577</v>
      </c>
      <c r="C649" s="6" t="s">
        <v>618</v>
      </c>
      <c r="D649" s="5" t="s">
        <v>181</v>
      </c>
      <c r="E649" s="7">
        <v>100</v>
      </c>
      <c r="F649" s="7"/>
      <c r="G649" s="7">
        <v>2256.03</v>
      </c>
      <c r="H649" s="7"/>
      <c r="I649" s="7"/>
      <c r="J649" s="7"/>
      <c r="K649" s="7">
        <v>2256</v>
      </c>
      <c r="L649" s="7"/>
      <c r="M649" s="7"/>
    </row>
    <row r="650" ht="18" customHeight="1" spans="1:13">
      <c r="A650" s="6" t="s">
        <v>181</v>
      </c>
      <c r="B650" s="6" t="s">
        <v>593</v>
      </c>
      <c r="C650" s="6" t="s">
        <v>619</v>
      </c>
      <c r="D650" s="5" t="s">
        <v>181</v>
      </c>
      <c r="E650" s="7">
        <v>100</v>
      </c>
      <c r="F650" s="7"/>
      <c r="G650" s="7">
        <v>76.6</v>
      </c>
      <c r="H650" s="7"/>
      <c r="I650" s="7"/>
      <c r="J650" s="7"/>
      <c r="K650" s="7">
        <v>77</v>
      </c>
      <c r="L650" s="7"/>
      <c r="M650" s="7"/>
    </row>
    <row r="651" ht="18" customHeight="1" spans="1:13">
      <c r="A651" s="6" t="s">
        <v>181</v>
      </c>
      <c r="B651" s="6" t="s">
        <v>612</v>
      </c>
      <c r="C651" s="6" t="s">
        <v>620</v>
      </c>
      <c r="D651" s="5" t="s">
        <v>181</v>
      </c>
      <c r="E651" s="7">
        <v>100</v>
      </c>
      <c r="F651" s="7"/>
      <c r="G651" s="7">
        <v>194.78</v>
      </c>
      <c r="H651" s="7"/>
      <c r="I651" s="7"/>
      <c r="J651" s="7"/>
      <c r="K651" s="7">
        <v>195</v>
      </c>
      <c r="L651" s="7"/>
      <c r="M651" s="7"/>
    </row>
    <row r="652" ht="18" customHeight="1" spans="1:13">
      <c r="A652" s="6" t="s">
        <v>181</v>
      </c>
      <c r="B652" s="6" t="s">
        <v>627</v>
      </c>
      <c r="C652" s="6" t="s">
        <v>216</v>
      </c>
      <c r="D652" s="5" t="s">
        <v>181</v>
      </c>
      <c r="E652" s="7">
        <v>9</v>
      </c>
      <c r="F652" s="7"/>
      <c r="G652" s="7">
        <v>907198.71</v>
      </c>
      <c r="H652" s="7"/>
      <c r="I652" s="7"/>
      <c r="J652" s="7"/>
      <c r="K652" s="7">
        <v>81648</v>
      </c>
      <c r="L652" s="7"/>
      <c r="M652" s="7"/>
    </row>
    <row r="653" ht="18" customHeight="1" spans="1:13">
      <c r="A653" s="6" t="s">
        <v>181</v>
      </c>
      <c r="B653" s="6" t="s">
        <v>662</v>
      </c>
      <c r="C653" s="6" t="s">
        <v>640</v>
      </c>
      <c r="D653" s="5" t="s">
        <v>181</v>
      </c>
      <c r="E653" s="7">
        <v>100</v>
      </c>
      <c r="F653" s="7"/>
      <c r="G653" s="7">
        <v>202118.16</v>
      </c>
      <c r="H653" s="7"/>
      <c r="I653" s="7"/>
      <c r="J653" s="7"/>
      <c r="K653" s="7">
        <v>202118</v>
      </c>
      <c r="L653" s="7"/>
      <c r="M653" s="7"/>
    </row>
    <row r="654" ht="18" customHeight="1" spans="1:13">
      <c r="A654" s="6" t="s">
        <v>181</v>
      </c>
      <c r="B654" s="6" t="s">
        <v>704</v>
      </c>
      <c r="C654" s="6" t="s">
        <v>705</v>
      </c>
      <c r="D654" s="5" t="s">
        <v>181</v>
      </c>
      <c r="E654" s="7">
        <v>100</v>
      </c>
      <c r="F654" s="7"/>
      <c r="G654" s="7">
        <v>786728.43</v>
      </c>
      <c r="H654" s="7"/>
      <c r="I654" s="7"/>
      <c r="J654" s="7"/>
      <c r="K654" s="7">
        <v>786728</v>
      </c>
      <c r="L654" s="7"/>
      <c r="M654" s="7"/>
    </row>
    <row r="655" ht="18" customHeight="1" spans="1:13">
      <c r="A655" s="6" t="s">
        <v>181</v>
      </c>
      <c r="B655" s="6" t="s">
        <v>631</v>
      </c>
      <c r="C655" s="6" t="s">
        <v>100</v>
      </c>
      <c r="D655" s="5" t="s">
        <v>181</v>
      </c>
      <c r="E655" s="7">
        <v>100</v>
      </c>
      <c r="F655" s="7"/>
      <c r="G655" s="7">
        <v>988846.59</v>
      </c>
      <c r="H655" s="7"/>
      <c r="I655" s="7"/>
      <c r="J655" s="7"/>
      <c r="K655" s="7">
        <v>988847</v>
      </c>
      <c r="L655" s="7"/>
      <c r="M655" s="7"/>
    </row>
    <row r="656" ht="18" customHeight="1" spans="1:13">
      <c r="A656" s="6" t="s">
        <v>181</v>
      </c>
      <c r="B656" s="6" t="s">
        <v>663</v>
      </c>
      <c r="C656" s="6" t="s">
        <v>173</v>
      </c>
      <c r="D656" s="5" t="s">
        <v>181</v>
      </c>
      <c r="E656" s="7">
        <v>100</v>
      </c>
      <c r="F656" s="7"/>
      <c r="G656" s="7">
        <v>988846.59</v>
      </c>
      <c r="H656" s="7"/>
      <c r="I656" s="7"/>
      <c r="J656" s="7"/>
      <c r="K656" s="7">
        <v>988847</v>
      </c>
      <c r="L656" s="7"/>
      <c r="M656" s="7"/>
    </row>
    <row r="657" ht="18" customHeight="1" spans="1:13">
      <c r="A657" s="6" t="s">
        <v>181</v>
      </c>
      <c r="B657" s="6" t="s">
        <v>181</v>
      </c>
      <c r="C657" s="6" t="s">
        <v>181</v>
      </c>
      <c r="D657" s="5" t="s">
        <v>181</v>
      </c>
      <c r="E657" s="7"/>
      <c r="F657" s="7"/>
      <c r="G657" s="7"/>
      <c r="H657" s="7"/>
      <c r="I657" s="7"/>
      <c r="J657" s="7"/>
      <c r="K657" s="7"/>
      <c r="L657" s="7"/>
      <c r="M657" s="7"/>
    </row>
    <row r="658" ht="18" customHeight="1" spans="1:13">
      <c r="A658" s="6" t="s">
        <v>872</v>
      </c>
      <c r="B658" s="6" t="s">
        <v>181</v>
      </c>
      <c r="C658" s="6" t="s">
        <v>572</v>
      </c>
      <c r="D658" s="5" t="s">
        <v>181</v>
      </c>
      <c r="E658" s="7"/>
      <c r="F658" s="7"/>
      <c r="G658" s="7"/>
      <c r="H658" s="7"/>
      <c r="I658" s="7"/>
      <c r="J658" s="7">
        <v>1413910</v>
      </c>
      <c r="K658" s="7">
        <v>634492</v>
      </c>
      <c r="L658" s="7">
        <v>131533</v>
      </c>
      <c r="M658" s="7">
        <v>57258</v>
      </c>
    </row>
    <row r="659" ht="18" customHeight="1" spans="1:13">
      <c r="A659" s="6" t="s">
        <v>873</v>
      </c>
      <c r="B659" s="6" t="s">
        <v>181</v>
      </c>
      <c r="C659" s="6" t="s">
        <v>874</v>
      </c>
      <c r="D659" s="5" t="s">
        <v>181</v>
      </c>
      <c r="E659" s="7"/>
      <c r="F659" s="7"/>
      <c r="G659" s="7"/>
      <c r="H659" s="7"/>
      <c r="I659" s="7"/>
      <c r="J659" s="7"/>
      <c r="K659" s="7">
        <v>20153</v>
      </c>
      <c r="L659" s="7">
        <v>8457</v>
      </c>
      <c r="M659" s="7">
        <v>315</v>
      </c>
    </row>
    <row r="660" ht="18" customHeight="1" spans="1:13">
      <c r="A660" s="6" t="s">
        <v>181</v>
      </c>
      <c r="B660" s="6" t="s">
        <v>181</v>
      </c>
      <c r="C660" s="6" t="s">
        <v>875</v>
      </c>
      <c r="D660" s="5" t="s">
        <v>181</v>
      </c>
      <c r="E660" s="7"/>
      <c r="F660" s="7"/>
      <c r="G660" s="7"/>
      <c r="H660" s="7"/>
      <c r="I660" s="7"/>
      <c r="J660" s="7"/>
      <c r="K660" s="7"/>
      <c r="L660" s="7"/>
      <c r="M660" s="7"/>
    </row>
    <row r="661" ht="18" customHeight="1" spans="1:13">
      <c r="A661" s="6" t="s">
        <v>181</v>
      </c>
      <c r="B661" s="6" t="s">
        <v>876</v>
      </c>
      <c r="C661" s="6" t="s">
        <v>877</v>
      </c>
      <c r="D661" s="5" t="s">
        <v>200</v>
      </c>
      <c r="E661" s="7">
        <v>500</v>
      </c>
      <c r="F661" s="7"/>
      <c r="G661" s="7">
        <v>16.64</v>
      </c>
      <c r="H661" s="7">
        <v>16.01</v>
      </c>
      <c r="I661" s="7">
        <v>0.63</v>
      </c>
      <c r="J661" s="7"/>
      <c r="K661" s="7">
        <v>8320</v>
      </c>
      <c r="L661" s="7">
        <v>8005</v>
      </c>
      <c r="M661" s="7">
        <v>315</v>
      </c>
    </row>
    <row r="662" ht="18" customHeight="1" spans="1:13">
      <c r="A662" s="6" t="s">
        <v>181</v>
      </c>
      <c r="B662" s="6" t="s">
        <v>181</v>
      </c>
      <c r="C662" s="6" t="s">
        <v>678</v>
      </c>
      <c r="D662" s="5" t="s">
        <v>660</v>
      </c>
      <c r="E662" s="7">
        <v>5.65</v>
      </c>
      <c r="F662" s="7"/>
      <c r="G662" s="7">
        <v>8005</v>
      </c>
      <c r="H662" s="7">
        <v>8005</v>
      </c>
      <c r="I662" s="7"/>
      <c r="J662" s="7"/>
      <c r="K662" s="7">
        <v>452</v>
      </c>
      <c r="L662" s="7">
        <v>452</v>
      </c>
      <c r="M662" s="7"/>
    </row>
    <row r="663" ht="30.6" customHeight="1" spans="1:13">
      <c r="A663" s="6" t="s">
        <v>181</v>
      </c>
      <c r="B663" s="6" t="s">
        <v>181</v>
      </c>
      <c r="C663" s="6" t="s">
        <v>562</v>
      </c>
      <c r="D663" s="5" t="s">
        <v>181</v>
      </c>
      <c r="E663" s="7"/>
      <c r="F663" s="7"/>
      <c r="G663" s="7"/>
      <c r="H663" s="7"/>
      <c r="I663" s="7"/>
      <c r="J663" s="7"/>
      <c r="K663" s="7">
        <v>8772</v>
      </c>
      <c r="L663" s="7">
        <v>8457</v>
      </c>
      <c r="M663" s="7">
        <v>315</v>
      </c>
    </row>
    <row r="664" ht="18" customHeight="1" spans="1:13">
      <c r="A664" s="6" t="s">
        <v>181</v>
      </c>
      <c r="B664" s="6" t="s">
        <v>181</v>
      </c>
      <c r="C664" s="6" t="s">
        <v>181</v>
      </c>
      <c r="D664" s="5" t="s">
        <v>181</v>
      </c>
      <c r="E664" s="7"/>
      <c r="F664" s="7"/>
      <c r="G664" s="7"/>
      <c r="H664" s="7"/>
      <c r="I664" s="7"/>
      <c r="J664" s="7"/>
      <c r="K664" s="7"/>
      <c r="L664" s="7"/>
      <c r="M664" s="7"/>
    </row>
    <row r="665" ht="30.6" customHeight="1" spans="1:13">
      <c r="A665" s="6" t="s">
        <v>181</v>
      </c>
      <c r="B665" s="6" t="s">
        <v>354</v>
      </c>
      <c r="C665" s="6" t="s">
        <v>210</v>
      </c>
      <c r="D665" s="5" t="s">
        <v>181</v>
      </c>
      <c r="E665" s="7">
        <v>100</v>
      </c>
      <c r="F665" s="7"/>
      <c r="G665" s="7">
        <v>10465.32</v>
      </c>
      <c r="H665" s="7"/>
      <c r="I665" s="7"/>
      <c r="J665" s="7"/>
      <c r="K665" s="7">
        <v>10465</v>
      </c>
      <c r="L665" s="7"/>
      <c r="M665" s="7"/>
    </row>
    <row r="666" ht="30.6" customHeight="1" spans="1:13">
      <c r="A666" s="6" t="s">
        <v>181</v>
      </c>
      <c r="B666" s="6" t="s">
        <v>577</v>
      </c>
      <c r="C666" s="6" t="s">
        <v>578</v>
      </c>
      <c r="D666" s="5" t="s">
        <v>181</v>
      </c>
      <c r="E666" s="7">
        <v>100</v>
      </c>
      <c r="F666" s="7"/>
      <c r="G666" s="7">
        <v>8772.28</v>
      </c>
      <c r="H666" s="7"/>
      <c r="I666" s="7"/>
      <c r="J666" s="7"/>
      <c r="K666" s="7">
        <v>8772</v>
      </c>
      <c r="L666" s="7"/>
      <c r="M666" s="7"/>
    </row>
    <row r="667" ht="18" customHeight="1" spans="1:13">
      <c r="A667" s="6" t="s">
        <v>181</v>
      </c>
      <c r="B667" s="6" t="s">
        <v>579</v>
      </c>
      <c r="C667" s="6" t="s">
        <v>580</v>
      </c>
      <c r="D667" s="5" t="s">
        <v>181</v>
      </c>
      <c r="E667" s="7">
        <v>100</v>
      </c>
      <c r="F667" s="7"/>
      <c r="G667" s="7">
        <v>8772.28</v>
      </c>
      <c r="H667" s="7"/>
      <c r="I667" s="7"/>
      <c r="J667" s="7"/>
      <c r="K667" s="7">
        <v>8772</v>
      </c>
      <c r="L667" s="7"/>
      <c r="M667" s="7"/>
    </row>
    <row r="668" ht="18" customHeight="1" spans="1:13">
      <c r="A668" s="6" t="s">
        <v>181</v>
      </c>
      <c r="B668" s="6" t="s">
        <v>581</v>
      </c>
      <c r="C668" s="6" t="s">
        <v>582</v>
      </c>
      <c r="D668" s="5" t="s">
        <v>181</v>
      </c>
      <c r="E668" s="7">
        <v>100</v>
      </c>
      <c r="F668" s="7"/>
      <c r="G668" s="7">
        <v>8457.28</v>
      </c>
      <c r="H668" s="7"/>
      <c r="I668" s="7"/>
      <c r="J668" s="7"/>
      <c r="K668" s="7">
        <v>8457</v>
      </c>
      <c r="L668" s="7"/>
      <c r="M668" s="7"/>
    </row>
    <row r="669" ht="18" customHeight="1" spans="1:13">
      <c r="A669" s="6" t="s">
        <v>181</v>
      </c>
      <c r="B669" s="6" t="s">
        <v>585</v>
      </c>
      <c r="C669" s="6" t="s">
        <v>586</v>
      </c>
      <c r="D669" s="5" t="s">
        <v>181</v>
      </c>
      <c r="E669" s="7">
        <v>100</v>
      </c>
      <c r="F669" s="7"/>
      <c r="G669" s="7">
        <v>315</v>
      </c>
      <c r="H669" s="7"/>
      <c r="I669" s="7"/>
      <c r="J669" s="7"/>
      <c r="K669" s="7">
        <v>315</v>
      </c>
      <c r="L669" s="7"/>
      <c r="M669" s="7"/>
    </row>
    <row r="670" ht="18" customHeight="1" spans="1:13">
      <c r="A670" s="6" t="s">
        <v>181</v>
      </c>
      <c r="B670" s="6" t="s">
        <v>593</v>
      </c>
      <c r="C670" s="6" t="s">
        <v>258</v>
      </c>
      <c r="D670" s="5" t="s">
        <v>181</v>
      </c>
      <c r="E670" s="7">
        <v>100</v>
      </c>
      <c r="F670" s="7"/>
      <c r="G670" s="7">
        <v>1693.04</v>
      </c>
      <c r="H670" s="7"/>
      <c r="I670" s="7"/>
      <c r="J670" s="7"/>
      <c r="K670" s="7">
        <v>1693</v>
      </c>
      <c r="L670" s="7"/>
      <c r="M670" s="7"/>
    </row>
    <row r="671" ht="18" customHeight="1" spans="1:13">
      <c r="A671" s="6" t="s">
        <v>181</v>
      </c>
      <c r="B671" s="6" t="s">
        <v>594</v>
      </c>
      <c r="C671" s="6" t="s">
        <v>595</v>
      </c>
      <c r="D671" s="5" t="s">
        <v>181</v>
      </c>
      <c r="E671" s="7">
        <v>3.57</v>
      </c>
      <c r="F671" s="7"/>
      <c r="G671" s="7">
        <v>8457.28</v>
      </c>
      <c r="H671" s="7"/>
      <c r="I671" s="7"/>
      <c r="J671" s="7"/>
      <c r="K671" s="7">
        <v>302</v>
      </c>
      <c r="L671" s="7"/>
      <c r="M671" s="7"/>
    </row>
    <row r="672" ht="18" customHeight="1" spans="1:13">
      <c r="A672" s="6" t="s">
        <v>181</v>
      </c>
      <c r="B672" s="6" t="s">
        <v>598</v>
      </c>
      <c r="C672" s="6" t="s">
        <v>599</v>
      </c>
      <c r="D672" s="5" t="s">
        <v>181</v>
      </c>
      <c r="E672" s="7">
        <v>3.82</v>
      </c>
      <c r="F672" s="7"/>
      <c r="G672" s="7">
        <v>8457.28</v>
      </c>
      <c r="H672" s="7"/>
      <c r="I672" s="7"/>
      <c r="J672" s="7"/>
      <c r="K672" s="7">
        <v>323</v>
      </c>
      <c r="L672" s="7"/>
      <c r="M672" s="7"/>
    </row>
    <row r="673" ht="18" customHeight="1" spans="1:13">
      <c r="A673" s="6" t="s">
        <v>181</v>
      </c>
      <c r="B673" s="6" t="s">
        <v>602</v>
      </c>
      <c r="C673" s="6" t="s">
        <v>76</v>
      </c>
      <c r="D673" s="5" t="s">
        <v>181</v>
      </c>
      <c r="E673" s="7">
        <v>6.35</v>
      </c>
      <c r="F673" s="7"/>
      <c r="G673" s="7">
        <v>8772.28</v>
      </c>
      <c r="H673" s="7"/>
      <c r="I673" s="7"/>
      <c r="J673" s="7"/>
      <c r="K673" s="7">
        <v>557</v>
      </c>
      <c r="L673" s="7"/>
      <c r="M673" s="7"/>
    </row>
    <row r="674" ht="18" customHeight="1" spans="1:13">
      <c r="A674" s="6" t="s">
        <v>181</v>
      </c>
      <c r="B674" s="6" t="s">
        <v>603</v>
      </c>
      <c r="C674" s="6" t="s">
        <v>604</v>
      </c>
      <c r="D674" s="5" t="s">
        <v>181</v>
      </c>
      <c r="E674" s="7">
        <v>2.36</v>
      </c>
      <c r="F674" s="7"/>
      <c r="G674" s="7">
        <v>8457.28</v>
      </c>
      <c r="H674" s="7"/>
      <c r="I674" s="7"/>
      <c r="J674" s="7"/>
      <c r="K674" s="7">
        <v>200</v>
      </c>
      <c r="L674" s="7"/>
      <c r="M674" s="7"/>
    </row>
    <row r="675" ht="18" customHeight="1" spans="1:13">
      <c r="A675" s="6" t="s">
        <v>181</v>
      </c>
      <c r="B675" s="6" t="s">
        <v>605</v>
      </c>
      <c r="C675" s="6" t="s">
        <v>213</v>
      </c>
      <c r="D675" s="5" t="s">
        <v>181</v>
      </c>
      <c r="E675" s="7">
        <v>3.55</v>
      </c>
      <c r="F675" s="7"/>
      <c r="G675" s="7">
        <v>8772.28</v>
      </c>
      <c r="H675" s="7"/>
      <c r="I675" s="7"/>
      <c r="J675" s="7"/>
      <c r="K675" s="7">
        <v>311</v>
      </c>
      <c r="L675" s="7"/>
      <c r="M675" s="7"/>
    </row>
    <row r="676" ht="18" customHeight="1" spans="1:13">
      <c r="A676" s="6" t="s">
        <v>181</v>
      </c>
      <c r="B676" s="6" t="s">
        <v>606</v>
      </c>
      <c r="C676" s="6" t="s">
        <v>607</v>
      </c>
      <c r="D676" s="5" t="s">
        <v>181</v>
      </c>
      <c r="E676" s="7">
        <v>100</v>
      </c>
      <c r="F676" s="7"/>
      <c r="G676" s="7">
        <v>6269.76</v>
      </c>
      <c r="H676" s="7"/>
      <c r="I676" s="7"/>
      <c r="J676" s="7"/>
      <c r="K676" s="7">
        <v>6270</v>
      </c>
      <c r="L676" s="7"/>
      <c r="M676" s="7"/>
    </row>
    <row r="677" ht="18" customHeight="1" spans="1:13">
      <c r="A677" s="6" t="s">
        <v>181</v>
      </c>
      <c r="B677" s="6" t="s">
        <v>577</v>
      </c>
      <c r="C677" s="6" t="s">
        <v>608</v>
      </c>
      <c r="D677" s="5" t="s">
        <v>181</v>
      </c>
      <c r="E677" s="7">
        <v>100</v>
      </c>
      <c r="F677" s="7"/>
      <c r="G677" s="7">
        <v>3152.45</v>
      </c>
      <c r="H677" s="7"/>
      <c r="I677" s="7"/>
      <c r="J677" s="7"/>
      <c r="K677" s="7">
        <v>3152</v>
      </c>
      <c r="L677" s="7"/>
      <c r="M677" s="7"/>
    </row>
    <row r="678" ht="18" customHeight="1" spans="1:13">
      <c r="A678" s="6" t="s">
        <v>181</v>
      </c>
      <c r="B678" s="6" t="s">
        <v>579</v>
      </c>
      <c r="C678" s="6" t="s">
        <v>609</v>
      </c>
      <c r="D678" s="5" t="s">
        <v>181</v>
      </c>
      <c r="E678" s="7">
        <v>23.5</v>
      </c>
      <c r="F678" s="7"/>
      <c r="G678" s="7">
        <v>8880.15</v>
      </c>
      <c r="H678" s="7"/>
      <c r="I678" s="7"/>
      <c r="J678" s="7"/>
      <c r="K678" s="7">
        <v>2087</v>
      </c>
      <c r="L678" s="7"/>
      <c r="M678" s="7"/>
    </row>
    <row r="679" ht="18" customHeight="1" spans="1:13">
      <c r="A679" s="6" t="s">
        <v>181</v>
      </c>
      <c r="B679" s="6" t="s">
        <v>587</v>
      </c>
      <c r="C679" s="6" t="s">
        <v>610</v>
      </c>
      <c r="D679" s="5" t="s">
        <v>181</v>
      </c>
      <c r="E679" s="7">
        <v>12</v>
      </c>
      <c r="F679" s="7"/>
      <c r="G679" s="7">
        <v>8880.15</v>
      </c>
      <c r="H679" s="7"/>
      <c r="I679" s="7"/>
      <c r="J679" s="7"/>
      <c r="K679" s="7">
        <v>1066</v>
      </c>
      <c r="L679" s="7"/>
      <c r="M679" s="7"/>
    </row>
    <row r="680" ht="18" customHeight="1" spans="1:13">
      <c r="A680" s="6" t="s">
        <v>181</v>
      </c>
      <c r="B680" s="6" t="s">
        <v>593</v>
      </c>
      <c r="C680" s="6" t="s">
        <v>611</v>
      </c>
      <c r="D680" s="5" t="s">
        <v>181</v>
      </c>
      <c r="E680" s="7">
        <v>35.76</v>
      </c>
      <c r="F680" s="7"/>
      <c r="G680" s="7">
        <v>8457.28</v>
      </c>
      <c r="H680" s="7"/>
      <c r="I680" s="7"/>
      <c r="J680" s="7"/>
      <c r="K680" s="7">
        <v>3024</v>
      </c>
      <c r="L680" s="7"/>
      <c r="M680" s="7"/>
    </row>
    <row r="681" ht="18" customHeight="1" spans="1:13">
      <c r="A681" s="6" t="s">
        <v>181</v>
      </c>
      <c r="B681" s="6" t="s">
        <v>612</v>
      </c>
      <c r="C681" s="6" t="s">
        <v>613</v>
      </c>
      <c r="D681" s="5" t="s">
        <v>181</v>
      </c>
      <c r="E681" s="7">
        <v>1.06</v>
      </c>
      <c r="F681" s="7"/>
      <c r="G681" s="7">
        <v>8772.28</v>
      </c>
      <c r="H681" s="7"/>
      <c r="I681" s="7"/>
      <c r="J681" s="7"/>
      <c r="K681" s="7">
        <v>93</v>
      </c>
      <c r="L681" s="7"/>
      <c r="M681" s="7"/>
    </row>
    <row r="682" ht="18" customHeight="1" spans="1:13">
      <c r="A682" s="6" t="s">
        <v>181</v>
      </c>
      <c r="B682" s="6" t="s">
        <v>614</v>
      </c>
      <c r="C682" s="6" t="s">
        <v>615</v>
      </c>
      <c r="D682" s="5" t="s">
        <v>181</v>
      </c>
      <c r="E682" s="7">
        <v>5</v>
      </c>
      <c r="F682" s="7"/>
      <c r="G682" s="7">
        <v>16735.09</v>
      </c>
      <c r="H682" s="7"/>
      <c r="I682" s="7"/>
      <c r="J682" s="7"/>
      <c r="K682" s="7">
        <v>837</v>
      </c>
      <c r="L682" s="7"/>
      <c r="M682" s="7"/>
    </row>
    <row r="683" ht="18" customHeight="1" spans="1:13">
      <c r="A683" s="6" t="s">
        <v>181</v>
      </c>
      <c r="B683" s="6" t="s">
        <v>616</v>
      </c>
      <c r="C683" s="6" t="s">
        <v>617</v>
      </c>
      <c r="D683" s="5" t="s">
        <v>181</v>
      </c>
      <c r="E683" s="7">
        <v>100</v>
      </c>
      <c r="F683" s="7"/>
      <c r="G683" s="7">
        <v>916.8</v>
      </c>
      <c r="H683" s="7"/>
      <c r="I683" s="7"/>
      <c r="J683" s="7"/>
      <c r="K683" s="7">
        <v>917</v>
      </c>
      <c r="L683" s="7"/>
      <c r="M683" s="7"/>
    </row>
    <row r="684" ht="18" customHeight="1" spans="1:13">
      <c r="A684" s="6" t="s">
        <v>181</v>
      </c>
      <c r="B684" s="6" t="s">
        <v>577</v>
      </c>
      <c r="C684" s="6" t="s">
        <v>618</v>
      </c>
      <c r="D684" s="5" t="s">
        <v>181</v>
      </c>
      <c r="E684" s="7">
        <v>100</v>
      </c>
      <c r="F684" s="7"/>
      <c r="G684" s="7">
        <v>900.7</v>
      </c>
      <c r="H684" s="7"/>
      <c r="I684" s="7"/>
      <c r="J684" s="7"/>
      <c r="K684" s="7">
        <v>901</v>
      </c>
      <c r="L684" s="7"/>
      <c r="M684" s="7"/>
    </row>
    <row r="685" ht="18" customHeight="1" spans="1:13">
      <c r="A685" s="6" t="s">
        <v>181</v>
      </c>
      <c r="B685" s="6" t="s">
        <v>612</v>
      </c>
      <c r="C685" s="6" t="s">
        <v>620</v>
      </c>
      <c r="D685" s="5" t="s">
        <v>181</v>
      </c>
      <c r="E685" s="7">
        <v>100</v>
      </c>
      <c r="F685" s="7"/>
      <c r="G685" s="7">
        <v>16.1</v>
      </c>
      <c r="H685" s="7"/>
      <c r="I685" s="7"/>
      <c r="J685" s="7"/>
      <c r="K685" s="7">
        <v>16</v>
      </c>
      <c r="L685" s="7"/>
      <c r="M685" s="7"/>
    </row>
    <row r="686" ht="18" customHeight="1" spans="1:13">
      <c r="A686" s="6" t="s">
        <v>181</v>
      </c>
      <c r="B686" s="6" t="s">
        <v>627</v>
      </c>
      <c r="C686" s="6" t="s">
        <v>216</v>
      </c>
      <c r="D686" s="5" t="s">
        <v>181</v>
      </c>
      <c r="E686" s="7">
        <v>9</v>
      </c>
      <c r="F686" s="7"/>
      <c r="G686" s="7">
        <v>18488.64</v>
      </c>
      <c r="H686" s="7"/>
      <c r="I686" s="7"/>
      <c r="J686" s="7"/>
      <c r="K686" s="7">
        <v>1664</v>
      </c>
      <c r="L686" s="7"/>
      <c r="M686" s="7"/>
    </row>
    <row r="687" ht="18" customHeight="1" spans="1:13">
      <c r="A687" s="6" t="s">
        <v>181</v>
      </c>
      <c r="B687" s="6" t="s">
        <v>662</v>
      </c>
      <c r="C687" s="6" t="s">
        <v>640</v>
      </c>
      <c r="D687" s="5" t="s">
        <v>181</v>
      </c>
      <c r="E687" s="7">
        <v>100</v>
      </c>
      <c r="F687" s="7"/>
      <c r="G687" s="7">
        <v>20152.61</v>
      </c>
      <c r="H687" s="7"/>
      <c r="I687" s="7"/>
      <c r="J687" s="7"/>
      <c r="K687" s="7">
        <v>20153</v>
      </c>
      <c r="L687" s="7"/>
      <c r="M687" s="7"/>
    </row>
    <row r="688" ht="18" customHeight="1" spans="1:13">
      <c r="A688" s="6" t="s">
        <v>181</v>
      </c>
      <c r="B688" s="6" t="s">
        <v>631</v>
      </c>
      <c r="C688" s="6" t="s">
        <v>100</v>
      </c>
      <c r="D688" s="5" t="s">
        <v>181</v>
      </c>
      <c r="E688" s="7">
        <v>100</v>
      </c>
      <c r="F688" s="7"/>
      <c r="G688" s="7">
        <v>20152.61</v>
      </c>
      <c r="H688" s="7"/>
      <c r="I688" s="7"/>
      <c r="J688" s="7"/>
      <c r="K688" s="7">
        <v>20153</v>
      </c>
      <c r="L688" s="7"/>
      <c r="M688" s="7"/>
    </row>
    <row r="689" ht="18" customHeight="1" spans="1:13">
      <c r="A689" s="6" t="s">
        <v>181</v>
      </c>
      <c r="B689" s="6" t="s">
        <v>663</v>
      </c>
      <c r="C689" s="6" t="s">
        <v>173</v>
      </c>
      <c r="D689" s="5" t="s">
        <v>181</v>
      </c>
      <c r="E689" s="7">
        <v>100</v>
      </c>
      <c r="F689" s="7"/>
      <c r="G689" s="7">
        <v>20152.61</v>
      </c>
      <c r="H689" s="7"/>
      <c r="I689" s="7"/>
      <c r="J689" s="7"/>
      <c r="K689" s="7">
        <v>20153</v>
      </c>
      <c r="L689" s="7"/>
      <c r="M689" s="7"/>
    </row>
    <row r="690" ht="18" customHeight="1" spans="1:13">
      <c r="A690" s="6" t="s">
        <v>181</v>
      </c>
      <c r="B690" s="6" t="s">
        <v>181</v>
      </c>
      <c r="C690" s="6" t="s">
        <v>181</v>
      </c>
      <c r="D690" s="5" t="s">
        <v>181</v>
      </c>
      <c r="E690" s="7"/>
      <c r="F690" s="7"/>
      <c r="G690" s="7"/>
      <c r="H690" s="7"/>
      <c r="I690" s="7"/>
      <c r="J690" s="7"/>
      <c r="K690" s="7"/>
      <c r="L690" s="7"/>
      <c r="M690" s="7"/>
    </row>
    <row r="691" ht="18" customHeight="1" spans="1:13">
      <c r="A691" s="6" t="s">
        <v>878</v>
      </c>
      <c r="B691" s="6" t="s">
        <v>181</v>
      </c>
      <c r="C691" s="6" t="s">
        <v>879</v>
      </c>
      <c r="D691" s="5" t="s">
        <v>181</v>
      </c>
      <c r="E691" s="7"/>
      <c r="F691" s="7"/>
      <c r="G691" s="7"/>
      <c r="H691" s="7"/>
      <c r="I691" s="7"/>
      <c r="J691" s="7">
        <v>40004</v>
      </c>
      <c r="K691" s="7">
        <v>235719</v>
      </c>
      <c r="L691" s="7">
        <v>68000</v>
      </c>
      <c r="M691" s="7">
        <v>4865</v>
      </c>
    </row>
    <row r="692" ht="18" customHeight="1" spans="1:13">
      <c r="A692" s="6" t="s">
        <v>880</v>
      </c>
      <c r="B692" s="6" t="s">
        <v>181</v>
      </c>
      <c r="C692" s="6" t="s">
        <v>881</v>
      </c>
      <c r="D692" s="5" t="s">
        <v>181</v>
      </c>
      <c r="E692" s="7"/>
      <c r="F692" s="7"/>
      <c r="G692" s="7"/>
      <c r="H692" s="7"/>
      <c r="I692" s="7"/>
      <c r="J692" s="7"/>
      <c r="K692" s="7">
        <v>110194</v>
      </c>
      <c r="L692" s="7">
        <v>45454</v>
      </c>
      <c r="M692" s="7">
        <v>3113</v>
      </c>
    </row>
    <row r="693" ht="18" customHeight="1" spans="1:13">
      <c r="A693" s="6" t="s">
        <v>181</v>
      </c>
      <c r="B693" s="6" t="s">
        <v>181</v>
      </c>
      <c r="C693" s="6" t="s">
        <v>652</v>
      </c>
      <c r="D693" s="5" t="s">
        <v>181</v>
      </c>
      <c r="E693" s="7"/>
      <c r="F693" s="7"/>
      <c r="G693" s="7"/>
      <c r="H693" s="7"/>
      <c r="I693" s="7"/>
      <c r="J693" s="7"/>
      <c r="K693" s="7"/>
      <c r="L693" s="7"/>
      <c r="M693" s="7"/>
    </row>
    <row r="694" ht="18" customHeight="1" spans="1:13">
      <c r="A694" s="6" t="s">
        <v>181</v>
      </c>
      <c r="B694" s="6" t="s">
        <v>653</v>
      </c>
      <c r="C694" s="6" t="s">
        <v>654</v>
      </c>
      <c r="D694" s="5" t="s">
        <v>647</v>
      </c>
      <c r="E694" s="7">
        <v>345.551</v>
      </c>
      <c r="F694" s="7"/>
      <c r="G694" s="7">
        <v>113.84</v>
      </c>
      <c r="H694" s="7">
        <v>106.54</v>
      </c>
      <c r="I694" s="7">
        <v>7.3</v>
      </c>
      <c r="J694" s="7"/>
      <c r="K694" s="7">
        <v>39338</v>
      </c>
      <c r="L694" s="7">
        <v>36815</v>
      </c>
      <c r="M694" s="7">
        <v>2523</v>
      </c>
    </row>
    <row r="695" ht="18" customHeight="1" spans="1:13">
      <c r="A695" s="6" t="s">
        <v>181</v>
      </c>
      <c r="B695" s="6" t="s">
        <v>655</v>
      </c>
      <c r="C695" s="6" t="s">
        <v>656</v>
      </c>
      <c r="D695" s="5" t="s">
        <v>182</v>
      </c>
      <c r="E695" s="7">
        <v>21.062</v>
      </c>
      <c r="F695" s="7"/>
      <c r="G695" s="7">
        <v>27.46</v>
      </c>
      <c r="H695" s="7">
        <v>9.59</v>
      </c>
      <c r="I695" s="7">
        <v>17.87</v>
      </c>
      <c r="J695" s="7"/>
      <c r="K695" s="7">
        <v>578</v>
      </c>
      <c r="L695" s="7">
        <v>202</v>
      </c>
      <c r="M695" s="7">
        <v>376</v>
      </c>
    </row>
    <row r="696" ht="18" customHeight="1" spans="1:13">
      <c r="A696" s="6" t="s">
        <v>181</v>
      </c>
      <c r="B696" s="6" t="s">
        <v>657</v>
      </c>
      <c r="C696" s="6" t="s">
        <v>658</v>
      </c>
      <c r="D696" s="5" t="s">
        <v>647</v>
      </c>
      <c r="E696" s="7">
        <v>252.738</v>
      </c>
      <c r="F696" s="7"/>
      <c r="G696" s="7">
        <v>1.16</v>
      </c>
      <c r="H696" s="7">
        <v>0.41</v>
      </c>
      <c r="I696" s="7">
        <v>0.75</v>
      </c>
      <c r="J696" s="7"/>
      <c r="K696" s="7">
        <v>293</v>
      </c>
      <c r="L696" s="7">
        <v>104</v>
      </c>
      <c r="M696" s="7">
        <v>190</v>
      </c>
    </row>
    <row r="697" ht="18" customHeight="1" spans="1:13">
      <c r="A697" s="6" t="s">
        <v>181</v>
      </c>
      <c r="B697" s="6" t="s">
        <v>181</v>
      </c>
      <c r="C697" s="6" t="s">
        <v>659</v>
      </c>
      <c r="D697" s="5" t="s">
        <v>660</v>
      </c>
      <c r="E697" s="7">
        <v>22.6</v>
      </c>
      <c r="F697" s="7"/>
      <c r="G697" s="7">
        <v>36815</v>
      </c>
      <c r="H697" s="7">
        <v>36815</v>
      </c>
      <c r="I697" s="7"/>
      <c r="J697" s="7"/>
      <c r="K697" s="7">
        <v>8320</v>
      </c>
      <c r="L697" s="7">
        <v>8320</v>
      </c>
      <c r="M697" s="7"/>
    </row>
    <row r="698" ht="18" customHeight="1" spans="1:13">
      <c r="A698" s="6" t="s">
        <v>181</v>
      </c>
      <c r="B698" s="6" t="s">
        <v>181</v>
      </c>
      <c r="C698" s="6" t="s">
        <v>661</v>
      </c>
      <c r="D698" s="5" t="s">
        <v>660</v>
      </c>
      <c r="E698" s="7">
        <v>13</v>
      </c>
      <c r="F698" s="7"/>
      <c r="G698" s="7">
        <v>293.18</v>
      </c>
      <c r="H698" s="7">
        <v>103.62</v>
      </c>
      <c r="I698" s="7">
        <v>189.55</v>
      </c>
      <c r="J698" s="7"/>
      <c r="K698" s="7">
        <v>38</v>
      </c>
      <c r="L698" s="7">
        <v>13</v>
      </c>
      <c r="M698" s="7">
        <v>25</v>
      </c>
    </row>
    <row r="699" ht="18" customHeight="1" spans="1:13">
      <c r="A699" s="6" t="s">
        <v>181</v>
      </c>
      <c r="B699" s="6" t="s">
        <v>181</v>
      </c>
      <c r="C699" s="6" t="s">
        <v>562</v>
      </c>
      <c r="D699" s="5" t="s">
        <v>181</v>
      </c>
      <c r="E699" s="7"/>
      <c r="F699" s="7"/>
      <c r="G699" s="7"/>
      <c r="H699" s="7"/>
      <c r="I699" s="7"/>
      <c r="J699" s="7"/>
      <c r="K699" s="7">
        <v>48567</v>
      </c>
      <c r="L699" s="7">
        <v>45454</v>
      </c>
      <c r="M699" s="7">
        <v>3113</v>
      </c>
    </row>
    <row r="700" ht="18" customHeight="1" spans="1:13">
      <c r="A700" s="6" t="s">
        <v>181</v>
      </c>
      <c r="B700" s="6" t="s">
        <v>181</v>
      </c>
      <c r="C700" s="6" t="s">
        <v>181</v>
      </c>
      <c r="D700" s="5" t="s">
        <v>181</v>
      </c>
      <c r="E700" s="7"/>
      <c r="F700" s="7"/>
      <c r="G700" s="7"/>
      <c r="H700" s="7"/>
      <c r="I700" s="7"/>
      <c r="J700" s="7"/>
      <c r="K700" s="7"/>
      <c r="L700" s="7"/>
      <c r="M700" s="7"/>
    </row>
    <row r="701" ht="18" customHeight="1" spans="1:13">
      <c r="A701" s="6" t="s">
        <v>181</v>
      </c>
      <c r="B701" s="6" t="s">
        <v>354</v>
      </c>
      <c r="C701" s="6" t="s">
        <v>210</v>
      </c>
      <c r="D701" s="5" t="s">
        <v>181</v>
      </c>
      <c r="E701" s="7">
        <v>100</v>
      </c>
      <c r="F701" s="7"/>
      <c r="G701" s="7">
        <v>57807.33</v>
      </c>
      <c r="H701" s="7"/>
      <c r="I701" s="7"/>
      <c r="J701" s="7"/>
      <c r="K701" s="7">
        <v>57807</v>
      </c>
      <c r="L701" s="7"/>
      <c r="M701" s="7"/>
    </row>
    <row r="702" ht="18" customHeight="1" spans="1:13">
      <c r="A702" s="6" t="s">
        <v>181</v>
      </c>
      <c r="B702" s="6" t="s">
        <v>577</v>
      </c>
      <c r="C702" s="6" t="s">
        <v>578</v>
      </c>
      <c r="D702" s="5" t="s">
        <v>181</v>
      </c>
      <c r="E702" s="7">
        <v>100</v>
      </c>
      <c r="F702" s="7"/>
      <c r="G702" s="7">
        <v>48567.37</v>
      </c>
      <c r="H702" s="7"/>
      <c r="I702" s="7"/>
      <c r="J702" s="7"/>
      <c r="K702" s="7">
        <v>48567</v>
      </c>
      <c r="L702" s="7"/>
      <c r="M702" s="7"/>
    </row>
    <row r="703" ht="18" customHeight="1" spans="1:13">
      <c r="A703" s="6" t="s">
        <v>181</v>
      </c>
      <c r="B703" s="6" t="s">
        <v>579</v>
      </c>
      <c r="C703" s="6" t="s">
        <v>580</v>
      </c>
      <c r="D703" s="5" t="s">
        <v>181</v>
      </c>
      <c r="E703" s="7">
        <v>100</v>
      </c>
      <c r="F703" s="7"/>
      <c r="G703" s="7">
        <v>48567.37</v>
      </c>
      <c r="H703" s="7"/>
      <c r="I703" s="7"/>
      <c r="J703" s="7"/>
      <c r="K703" s="7">
        <v>48567</v>
      </c>
      <c r="L703" s="7"/>
      <c r="M703" s="7"/>
    </row>
    <row r="704" ht="18" customHeight="1" spans="1:13">
      <c r="A704" s="6" t="s">
        <v>181</v>
      </c>
      <c r="B704" s="6" t="s">
        <v>581</v>
      </c>
      <c r="C704" s="6" t="s">
        <v>582</v>
      </c>
      <c r="D704" s="5" t="s">
        <v>181</v>
      </c>
      <c r="E704" s="7">
        <v>100</v>
      </c>
      <c r="F704" s="7"/>
      <c r="G704" s="7">
        <v>45454.27</v>
      </c>
      <c r="H704" s="7"/>
      <c r="I704" s="7"/>
      <c r="J704" s="7"/>
      <c r="K704" s="7">
        <v>45454</v>
      </c>
      <c r="L704" s="7"/>
      <c r="M704" s="7"/>
    </row>
    <row r="705" ht="18" customHeight="1" spans="1:13">
      <c r="A705" s="6" t="s">
        <v>181</v>
      </c>
      <c r="B705" s="6" t="s">
        <v>585</v>
      </c>
      <c r="C705" s="6" t="s">
        <v>586</v>
      </c>
      <c r="D705" s="5" t="s">
        <v>181</v>
      </c>
      <c r="E705" s="7">
        <v>100</v>
      </c>
      <c r="F705" s="7"/>
      <c r="G705" s="7">
        <v>3113.1</v>
      </c>
      <c r="H705" s="7"/>
      <c r="I705" s="7"/>
      <c r="J705" s="7"/>
      <c r="K705" s="7">
        <v>3113</v>
      </c>
      <c r="L705" s="7"/>
      <c r="M705" s="7"/>
    </row>
    <row r="706" ht="18" customHeight="1" spans="1:13">
      <c r="A706" s="6" t="s">
        <v>181</v>
      </c>
      <c r="B706" s="6" t="s">
        <v>593</v>
      </c>
      <c r="C706" s="6" t="s">
        <v>258</v>
      </c>
      <c r="D706" s="5" t="s">
        <v>181</v>
      </c>
      <c r="E706" s="7">
        <v>100</v>
      </c>
      <c r="F706" s="7"/>
      <c r="G706" s="7">
        <v>9239.96</v>
      </c>
      <c r="H706" s="7"/>
      <c r="I706" s="7"/>
      <c r="J706" s="7"/>
      <c r="K706" s="7">
        <v>9240</v>
      </c>
      <c r="L706" s="7"/>
      <c r="M706" s="7"/>
    </row>
    <row r="707" ht="18" customHeight="1" spans="1:13">
      <c r="A707" s="6" t="s">
        <v>181</v>
      </c>
      <c r="B707" s="6" t="s">
        <v>594</v>
      </c>
      <c r="C707" s="6" t="s">
        <v>595</v>
      </c>
      <c r="D707" s="5" t="s">
        <v>181</v>
      </c>
      <c r="E707" s="7">
        <v>3.57</v>
      </c>
      <c r="F707" s="7"/>
      <c r="G707" s="7">
        <v>45454.27</v>
      </c>
      <c r="H707" s="7"/>
      <c r="I707" s="7"/>
      <c r="J707" s="7"/>
      <c r="K707" s="7">
        <v>1623</v>
      </c>
      <c r="L707" s="7"/>
      <c r="M707" s="7"/>
    </row>
    <row r="708" ht="18" customHeight="1" spans="1:13">
      <c r="A708" s="6" t="s">
        <v>181</v>
      </c>
      <c r="B708" s="6" t="s">
        <v>598</v>
      </c>
      <c r="C708" s="6" t="s">
        <v>599</v>
      </c>
      <c r="D708" s="5" t="s">
        <v>181</v>
      </c>
      <c r="E708" s="7">
        <v>3.82</v>
      </c>
      <c r="F708" s="7"/>
      <c r="G708" s="7">
        <v>45454.27</v>
      </c>
      <c r="H708" s="7"/>
      <c r="I708" s="7"/>
      <c r="J708" s="7"/>
      <c r="K708" s="7">
        <v>1736</v>
      </c>
      <c r="L708" s="7"/>
      <c r="M708" s="7"/>
    </row>
    <row r="709" ht="18" customHeight="1" spans="1:13">
      <c r="A709" s="6" t="s">
        <v>181</v>
      </c>
      <c r="B709" s="6" t="s">
        <v>602</v>
      </c>
      <c r="C709" s="6" t="s">
        <v>76</v>
      </c>
      <c r="D709" s="5" t="s">
        <v>181</v>
      </c>
      <c r="E709" s="7">
        <v>6.35</v>
      </c>
      <c r="F709" s="7"/>
      <c r="G709" s="7">
        <v>48567.37</v>
      </c>
      <c r="H709" s="7"/>
      <c r="I709" s="7"/>
      <c r="J709" s="7"/>
      <c r="K709" s="7">
        <v>3084</v>
      </c>
      <c r="L709" s="7"/>
      <c r="M709" s="7"/>
    </row>
    <row r="710" ht="18" customHeight="1" spans="1:13">
      <c r="A710" s="6" t="s">
        <v>181</v>
      </c>
      <c r="B710" s="6" t="s">
        <v>603</v>
      </c>
      <c r="C710" s="6" t="s">
        <v>604</v>
      </c>
      <c r="D710" s="5" t="s">
        <v>181</v>
      </c>
      <c r="E710" s="7">
        <v>2.36</v>
      </c>
      <c r="F710" s="7"/>
      <c r="G710" s="7">
        <v>45454.27</v>
      </c>
      <c r="H710" s="7"/>
      <c r="I710" s="7"/>
      <c r="J710" s="7"/>
      <c r="K710" s="7">
        <v>1073</v>
      </c>
      <c r="L710" s="7"/>
      <c r="M710" s="7"/>
    </row>
    <row r="711" ht="18" customHeight="1" spans="1:13">
      <c r="A711" s="6" t="s">
        <v>181</v>
      </c>
      <c r="B711" s="6" t="s">
        <v>605</v>
      </c>
      <c r="C711" s="6" t="s">
        <v>213</v>
      </c>
      <c r="D711" s="5" t="s">
        <v>181</v>
      </c>
      <c r="E711" s="7">
        <v>3.55</v>
      </c>
      <c r="F711" s="7"/>
      <c r="G711" s="7">
        <v>48567.37</v>
      </c>
      <c r="H711" s="7"/>
      <c r="I711" s="7"/>
      <c r="J711" s="7"/>
      <c r="K711" s="7">
        <v>1724</v>
      </c>
      <c r="L711" s="7"/>
      <c r="M711" s="7"/>
    </row>
    <row r="712" ht="18" customHeight="1" spans="1:13">
      <c r="A712" s="6" t="s">
        <v>181</v>
      </c>
      <c r="B712" s="6" t="s">
        <v>606</v>
      </c>
      <c r="C712" s="6" t="s">
        <v>607</v>
      </c>
      <c r="D712" s="5" t="s">
        <v>181</v>
      </c>
      <c r="E712" s="7">
        <v>100</v>
      </c>
      <c r="F712" s="7"/>
      <c r="G712" s="7">
        <v>33712.34</v>
      </c>
      <c r="H712" s="7"/>
      <c r="I712" s="7"/>
      <c r="J712" s="7"/>
      <c r="K712" s="7">
        <v>33712</v>
      </c>
      <c r="L712" s="7"/>
      <c r="M712" s="7"/>
    </row>
    <row r="713" ht="18" customHeight="1" spans="1:13">
      <c r="A713" s="6" t="s">
        <v>181</v>
      </c>
      <c r="B713" s="6" t="s">
        <v>577</v>
      </c>
      <c r="C713" s="6" t="s">
        <v>608</v>
      </c>
      <c r="D713" s="5" t="s">
        <v>181</v>
      </c>
      <c r="E713" s="7">
        <v>100</v>
      </c>
      <c r="F713" s="7"/>
      <c r="G713" s="7">
        <v>16943.08</v>
      </c>
      <c r="H713" s="7"/>
      <c r="I713" s="7"/>
      <c r="J713" s="7"/>
      <c r="K713" s="7">
        <v>16943</v>
      </c>
      <c r="L713" s="7"/>
      <c r="M713" s="7"/>
    </row>
    <row r="714" ht="18" customHeight="1" spans="1:13">
      <c r="A714" s="6" t="s">
        <v>181</v>
      </c>
      <c r="B714" s="6" t="s">
        <v>579</v>
      </c>
      <c r="C714" s="6" t="s">
        <v>609</v>
      </c>
      <c r="D714" s="5" t="s">
        <v>181</v>
      </c>
      <c r="E714" s="7">
        <v>23.5</v>
      </c>
      <c r="F714" s="7"/>
      <c r="G714" s="7">
        <v>47726.99</v>
      </c>
      <c r="H714" s="7"/>
      <c r="I714" s="7"/>
      <c r="J714" s="7"/>
      <c r="K714" s="7">
        <v>11216</v>
      </c>
      <c r="L714" s="7"/>
      <c r="M714" s="7"/>
    </row>
    <row r="715" ht="18" customHeight="1" spans="1:13">
      <c r="A715" s="6" t="s">
        <v>181</v>
      </c>
      <c r="B715" s="6" t="s">
        <v>587</v>
      </c>
      <c r="C715" s="6" t="s">
        <v>610</v>
      </c>
      <c r="D715" s="5" t="s">
        <v>181</v>
      </c>
      <c r="E715" s="7">
        <v>12</v>
      </c>
      <c r="F715" s="7"/>
      <c r="G715" s="7">
        <v>47726.99</v>
      </c>
      <c r="H715" s="7"/>
      <c r="I715" s="7"/>
      <c r="J715" s="7"/>
      <c r="K715" s="7">
        <v>5727</v>
      </c>
      <c r="L715" s="7"/>
      <c r="M715" s="7"/>
    </row>
    <row r="716" ht="18" customHeight="1" spans="1:13">
      <c r="A716" s="6" t="s">
        <v>181</v>
      </c>
      <c r="B716" s="6" t="s">
        <v>593</v>
      </c>
      <c r="C716" s="6" t="s">
        <v>611</v>
      </c>
      <c r="D716" s="5" t="s">
        <v>181</v>
      </c>
      <c r="E716" s="7">
        <v>35.76</v>
      </c>
      <c r="F716" s="7"/>
      <c r="G716" s="7">
        <v>45454.27</v>
      </c>
      <c r="H716" s="7"/>
      <c r="I716" s="7"/>
      <c r="J716" s="7"/>
      <c r="K716" s="7">
        <v>16254</v>
      </c>
      <c r="L716" s="7"/>
      <c r="M716" s="7"/>
    </row>
    <row r="717" ht="18" customHeight="1" spans="1:13">
      <c r="A717" s="6" t="s">
        <v>181</v>
      </c>
      <c r="B717" s="6" t="s">
        <v>612</v>
      </c>
      <c r="C717" s="6" t="s">
        <v>613</v>
      </c>
      <c r="D717" s="5" t="s">
        <v>181</v>
      </c>
      <c r="E717" s="7">
        <v>1.06</v>
      </c>
      <c r="F717" s="7"/>
      <c r="G717" s="7">
        <v>48567.37</v>
      </c>
      <c r="H717" s="7"/>
      <c r="I717" s="7"/>
      <c r="J717" s="7"/>
      <c r="K717" s="7">
        <v>515</v>
      </c>
      <c r="L717" s="7"/>
      <c r="M717" s="7"/>
    </row>
    <row r="718" ht="18" customHeight="1" spans="1:13">
      <c r="A718" s="6" t="s">
        <v>181</v>
      </c>
      <c r="B718" s="6" t="s">
        <v>614</v>
      </c>
      <c r="C718" s="6" t="s">
        <v>615</v>
      </c>
      <c r="D718" s="5" t="s">
        <v>181</v>
      </c>
      <c r="E718" s="7">
        <v>5</v>
      </c>
      <c r="F718" s="7"/>
      <c r="G718" s="7">
        <v>91519.67</v>
      </c>
      <c r="H718" s="7"/>
      <c r="I718" s="7"/>
      <c r="J718" s="7"/>
      <c r="K718" s="7">
        <v>4576</v>
      </c>
      <c r="L718" s="7"/>
      <c r="M718" s="7"/>
    </row>
    <row r="719" ht="18" customHeight="1" spans="1:13">
      <c r="A719" s="6" t="s">
        <v>181</v>
      </c>
      <c r="B719" s="6" t="s">
        <v>616</v>
      </c>
      <c r="C719" s="6" t="s">
        <v>617</v>
      </c>
      <c r="D719" s="5" t="s">
        <v>181</v>
      </c>
      <c r="E719" s="7">
        <v>100</v>
      </c>
      <c r="F719" s="7"/>
      <c r="G719" s="7">
        <v>4999.96</v>
      </c>
      <c r="H719" s="7"/>
      <c r="I719" s="7"/>
      <c r="J719" s="7"/>
      <c r="K719" s="7">
        <v>5000</v>
      </c>
      <c r="L719" s="7"/>
      <c r="M719" s="7"/>
    </row>
    <row r="720" ht="18" customHeight="1" spans="1:13">
      <c r="A720" s="6" t="s">
        <v>181</v>
      </c>
      <c r="B720" s="6" t="s">
        <v>577</v>
      </c>
      <c r="C720" s="6" t="s">
        <v>618</v>
      </c>
      <c r="D720" s="5" t="s">
        <v>181</v>
      </c>
      <c r="E720" s="7">
        <v>100</v>
      </c>
      <c r="F720" s="7"/>
      <c r="G720" s="7">
        <v>4840.88</v>
      </c>
      <c r="H720" s="7"/>
      <c r="I720" s="7"/>
      <c r="J720" s="7"/>
      <c r="K720" s="7">
        <v>4841</v>
      </c>
      <c r="L720" s="7"/>
      <c r="M720" s="7"/>
    </row>
    <row r="721" ht="18" customHeight="1" spans="1:13">
      <c r="A721" s="6" t="s">
        <v>181</v>
      </c>
      <c r="B721" s="6" t="s">
        <v>612</v>
      </c>
      <c r="C721" s="6" t="s">
        <v>620</v>
      </c>
      <c r="D721" s="5" t="s">
        <v>181</v>
      </c>
      <c r="E721" s="7">
        <v>100</v>
      </c>
      <c r="F721" s="7"/>
      <c r="G721" s="7">
        <v>159.08</v>
      </c>
      <c r="H721" s="7"/>
      <c r="I721" s="7"/>
      <c r="J721" s="7"/>
      <c r="K721" s="7">
        <v>159</v>
      </c>
      <c r="L721" s="7"/>
      <c r="M721" s="7"/>
    </row>
    <row r="722" ht="18" customHeight="1" spans="1:13">
      <c r="A722" s="6" t="s">
        <v>181</v>
      </c>
      <c r="B722" s="6" t="s">
        <v>627</v>
      </c>
      <c r="C722" s="6" t="s">
        <v>216</v>
      </c>
      <c r="D722" s="5" t="s">
        <v>181</v>
      </c>
      <c r="E722" s="7">
        <v>9</v>
      </c>
      <c r="F722" s="7"/>
      <c r="G722" s="7">
        <v>101095.61</v>
      </c>
      <c r="H722" s="7"/>
      <c r="I722" s="7"/>
      <c r="J722" s="7"/>
      <c r="K722" s="7">
        <v>9099</v>
      </c>
      <c r="L722" s="7"/>
      <c r="M722" s="7"/>
    </row>
    <row r="723" ht="18" customHeight="1" spans="1:13">
      <c r="A723" s="6" t="s">
        <v>181</v>
      </c>
      <c r="B723" s="6" t="s">
        <v>662</v>
      </c>
      <c r="C723" s="6" t="s">
        <v>640</v>
      </c>
      <c r="D723" s="5" t="s">
        <v>181</v>
      </c>
      <c r="E723" s="7">
        <v>100</v>
      </c>
      <c r="F723" s="7"/>
      <c r="G723" s="7">
        <v>110194.22</v>
      </c>
      <c r="H723" s="7"/>
      <c r="I723" s="7"/>
      <c r="J723" s="7"/>
      <c r="K723" s="7">
        <v>110194</v>
      </c>
      <c r="L723" s="7"/>
      <c r="M723" s="7"/>
    </row>
    <row r="724" ht="18" customHeight="1" spans="1:13">
      <c r="A724" s="6" t="s">
        <v>181</v>
      </c>
      <c r="B724" s="6" t="s">
        <v>631</v>
      </c>
      <c r="C724" s="6" t="s">
        <v>100</v>
      </c>
      <c r="D724" s="5" t="s">
        <v>181</v>
      </c>
      <c r="E724" s="7">
        <v>100</v>
      </c>
      <c r="F724" s="7"/>
      <c r="G724" s="7">
        <v>110194.22</v>
      </c>
      <c r="H724" s="7"/>
      <c r="I724" s="7"/>
      <c r="J724" s="7"/>
      <c r="K724" s="7">
        <v>110194</v>
      </c>
      <c r="L724" s="7"/>
      <c r="M724" s="7"/>
    </row>
    <row r="725" ht="18" customHeight="1" spans="1:13">
      <c r="A725" s="6" t="s">
        <v>181</v>
      </c>
      <c r="B725" s="6" t="s">
        <v>663</v>
      </c>
      <c r="C725" s="6" t="s">
        <v>173</v>
      </c>
      <c r="D725" s="5" t="s">
        <v>181</v>
      </c>
      <c r="E725" s="7">
        <v>100</v>
      </c>
      <c r="F725" s="7"/>
      <c r="G725" s="7">
        <v>110194.22</v>
      </c>
      <c r="H725" s="7"/>
      <c r="I725" s="7"/>
      <c r="J725" s="7"/>
      <c r="K725" s="7">
        <v>110194</v>
      </c>
      <c r="L725" s="7"/>
      <c r="M725" s="7"/>
    </row>
    <row r="726" ht="18" customHeight="1" spans="1:13">
      <c r="A726" s="6" t="s">
        <v>181</v>
      </c>
      <c r="B726" s="6" t="s">
        <v>181</v>
      </c>
      <c r="C726" s="6" t="s">
        <v>181</v>
      </c>
      <c r="D726" s="5" t="s">
        <v>181</v>
      </c>
      <c r="E726" s="7"/>
      <c r="F726" s="7"/>
      <c r="G726" s="7"/>
      <c r="H726" s="7"/>
      <c r="I726" s="7"/>
      <c r="J726" s="7"/>
      <c r="K726" s="7"/>
      <c r="L726" s="7"/>
      <c r="M726" s="7"/>
    </row>
    <row r="727" ht="18" customHeight="1" spans="1:13">
      <c r="A727" s="6" t="s">
        <v>882</v>
      </c>
      <c r="B727" s="6" t="s">
        <v>181</v>
      </c>
      <c r="C727" s="6" t="s">
        <v>883</v>
      </c>
      <c r="D727" s="5" t="s">
        <v>181</v>
      </c>
      <c r="E727" s="7"/>
      <c r="F727" s="7"/>
      <c r="G727" s="7"/>
      <c r="H727" s="7"/>
      <c r="I727" s="7"/>
      <c r="J727" s="7">
        <v>40004</v>
      </c>
      <c r="K727" s="7">
        <v>125525</v>
      </c>
      <c r="L727" s="7">
        <v>22545</v>
      </c>
      <c r="M727" s="7">
        <v>1752</v>
      </c>
    </row>
    <row r="728" ht="18" customHeight="1" spans="1:13">
      <c r="A728" s="6" t="s">
        <v>181</v>
      </c>
      <c r="B728" s="6" t="s">
        <v>181</v>
      </c>
      <c r="C728" s="6" t="s">
        <v>884</v>
      </c>
      <c r="D728" s="5" t="s">
        <v>181</v>
      </c>
      <c r="E728" s="7"/>
      <c r="F728" s="7"/>
      <c r="G728" s="7"/>
      <c r="H728" s="7"/>
      <c r="I728" s="7"/>
      <c r="J728" s="7"/>
      <c r="K728" s="7"/>
      <c r="L728" s="7"/>
      <c r="M728" s="7"/>
    </row>
    <row r="729" ht="18" customHeight="1" spans="1:13">
      <c r="A729" s="6" t="s">
        <v>181</v>
      </c>
      <c r="B729" s="6" t="s">
        <v>885</v>
      </c>
      <c r="C729" s="6" t="s">
        <v>886</v>
      </c>
      <c r="D729" s="5" t="s">
        <v>200</v>
      </c>
      <c r="E729" s="7">
        <v>300</v>
      </c>
      <c r="F729" s="7"/>
      <c r="G729" s="7">
        <v>69.76</v>
      </c>
      <c r="H729" s="7">
        <v>64.73</v>
      </c>
      <c r="I729" s="7">
        <v>5.03</v>
      </c>
      <c r="J729" s="7"/>
      <c r="K729" s="7">
        <v>20928</v>
      </c>
      <c r="L729" s="7">
        <v>19419</v>
      </c>
      <c r="M729" s="7">
        <v>1509</v>
      </c>
    </row>
    <row r="730" ht="18" customHeight="1" spans="1:13">
      <c r="A730" s="6" t="s">
        <v>181</v>
      </c>
      <c r="B730" s="6" t="s">
        <v>181</v>
      </c>
      <c r="C730" s="6" t="s">
        <v>887</v>
      </c>
      <c r="D730" s="5" t="s">
        <v>660</v>
      </c>
      <c r="E730" s="7">
        <v>16.1</v>
      </c>
      <c r="F730" s="7"/>
      <c r="G730" s="7">
        <v>20928</v>
      </c>
      <c r="H730" s="7">
        <v>19419</v>
      </c>
      <c r="I730" s="7">
        <v>1509</v>
      </c>
      <c r="J730" s="7"/>
      <c r="K730" s="7">
        <v>3369</v>
      </c>
      <c r="L730" s="7">
        <v>3126</v>
      </c>
      <c r="M730" s="7">
        <v>243</v>
      </c>
    </row>
    <row r="731" ht="18" customHeight="1" spans="1:13">
      <c r="A731" s="6" t="s">
        <v>181</v>
      </c>
      <c r="B731" s="6" t="s">
        <v>181</v>
      </c>
      <c r="C731" s="6" t="s">
        <v>702</v>
      </c>
      <c r="D731" s="5" t="s">
        <v>181</v>
      </c>
      <c r="E731" s="7"/>
      <c r="F731" s="7"/>
      <c r="G731" s="7"/>
      <c r="H731" s="7"/>
      <c r="I731" s="7"/>
      <c r="J731" s="7">
        <v>3484</v>
      </c>
      <c r="K731" s="7"/>
      <c r="L731" s="7"/>
      <c r="M731" s="7"/>
    </row>
    <row r="732" ht="18" customHeight="1" spans="1:13">
      <c r="A732" s="6" t="s">
        <v>181</v>
      </c>
      <c r="B732" s="6" t="s">
        <v>181</v>
      </c>
      <c r="C732" s="6" t="s">
        <v>703</v>
      </c>
      <c r="D732" s="5" t="s">
        <v>181</v>
      </c>
      <c r="E732" s="7"/>
      <c r="F732" s="7"/>
      <c r="G732" s="7"/>
      <c r="H732" s="7"/>
      <c r="I732" s="7"/>
      <c r="J732" s="7">
        <v>40004</v>
      </c>
      <c r="K732" s="7"/>
      <c r="L732" s="7"/>
      <c r="M732" s="7"/>
    </row>
    <row r="733" spans="1:13">
      <c r="A733" s="6" t="s">
        <v>181</v>
      </c>
      <c r="B733" s="6" t="s">
        <v>181</v>
      </c>
      <c r="C733" s="6" t="s">
        <v>562</v>
      </c>
      <c r="D733" s="5" t="s">
        <v>181</v>
      </c>
      <c r="E733" s="7"/>
      <c r="F733" s="7"/>
      <c r="G733" s="7"/>
      <c r="H733" s="7"/>
      <c r="I733" s="7"/>
      <c r="J733" s="7">
        <v>40004</v>
      </c>
      <c r="K733" s="7">
        <v>24297</v>
      </c>
      <c r="L733" s="7">
        <v>22545</v>
      </c>
      <c r="M733" s="7">
        <v>1752</v>
      </c>
    </row>
    <row r="734" spans="1:13">
      <c r="A734" s="6" t="s">
        <v>181</v>
      </c>
      <c r="B734" s="6" t="s">
        <v>181</v>
      </c>
      <c r="C734" s="6" t="s">
        <v>181</v>
      </c>
      <c r="D734" s="5" t="s">
        <v>181</v>
      </c>
      <c r="E734" s="7"/>
      <c r="F734" s="7"/>
      <c r="G734" s="7"/>
      <c r="H734" s="7"/>
      <c r="I734" s="7"/>
      <c r="J734" s="7"/>
      <c r="K734" s="7"/>
      <c r="L734" s="7"/>
      <c r="M734" s="7"/>
    </row>
    <row r="735" spans="1:13">
      <c r="A735" s="6" t="s">
        <v>181</v>
      </c>
      <c r="B735" s="6" t="s">
        <v>354</v>
      </c>
      <c r="C735" s="6" t="s">
        <v>210</v>
      </c>
      <c r="D735" s="5" t="s">
        <v>181</v>
      </c>
      <c r="E735" s="7">
        <v>100</v>
      </c>
      <c r="F735" s="7"/>
      <c r="G735" s="7">
        <v>70325.39</v>
      </c>
      <c r="H735" s="7"/>
      <c r="I735" s="7"/>
      <c r="J735" s="7"/>
      <c r="K735" s="7">
        <v>70325</v>
      </c>
      <c r="L735" s="7"/>
      <c r="M735" s="7"/>
    </row>
    <row r="736" spans="1:13">
      <c r="A736" s="6" t="s">
        <v>181</v>
      </c>
      <c r="B736" s="6" t="s">
        <v>577</v>
      </c>
      <c r="C736" s="6" t="s">
        <v>578</v>
      </c>
      <c r="D736" s="5" t="s">
        <v>181</v>
      </c>
      <c r="E736" s="7">
        <v>100</v>
      </c>
      <c r="F736" s="7"/>
      <c r="G736" s="7">
        <v>64301.62</v>
      </c>
      <c r="H736" s="7"/>
      <c r="I736" s="7"/>
      <c r="J736" s="7"/>
      <c r="K736" s="7">
        <v>64302</v>
      </c>
      <c r="L736" s="7"/>
      <c r="M736" s="7"/>
    </row>
    <row r="737" spans="1:13">
      <c r="A737" s="6" t="s">
        <v>181</v>
      </c>
      <c r="B737" s="6" t="s">
        <v>579</v>
      </c>
      <c r="C737" s="6" t="s">
        <v>580</v>
      </c>
      <c r="D737" s="5" t="s">
        <v>181</v>
      </c>
      <c r="E737" s="7">
        <v>100</v>
      </c>
      <c r="F737" s="7"/>
      <c r="G737" s="7">
        <v>24297.41</v>
      </c>
      <c r="H737" s="7"/>
      <c r="I737" s="7"/>
      <c r="J737" s="7"/>
      <c r="K737" s="7">
        <v>24297</v>
      </c>
      <c r="L737" s="7"/>
      <c r="M737" s="7"/>
    </row>
    <row r="738" spans="1:13">
      <c r="A738" s="6" t="s">
        <v>181</v>
      </c>
      <c r="B738" s="6" t="s">
        <v>581</v>
      </c>
      <c r="C738" s="6" t="s">
        <v>582</v>
      </c>
      <c r="D738" s="5" t="s">
        <v>181</v>
      </c>
      <c r="E738" s="7">
        <v>100</v>
      </c>
      <c r="F738" s="7"/>
      <c r="G738" s="7">
        <v>22545.46</v>
      </c>
      <c r="H738" s="7"/>
      <c r="I738" s="7"/>
      <c r="J738" s="7"/>
      <c r="K738" s="7">
        <v>22545</v>
      </c>
      <c r="L738" s="7"/>
      <c r="M738" s="7"/>
    </row>
    <row r="739" spans="1:13">
      <c r="A739" s="6" t="s">
        <v>181</v>
      </c>
      <c r="B739" s="6" t="s">
        <v>585</v>
      </c>
      <c r="C739" s="6" t="s">
        <v>586</v>
      </c>
      <c r="D739" s="5" t="s">
        <v>181</v>
      </c>
      <c r="E739" s="7">
        <v>100</v>
      </c>
      <c r="F739" s="7"/>
      <c r="G739" s="7">
        <v>1751.95</v>
      </c>
      <c r="H739" s="7"/>
      <c r="I739" s="7"/>
      <c r="J739" s="7"/>
      <c r="K739" s="7">
        <v>1752</v>
      </c>
      <c r="L739" s="7"/>
      <c r="M739" s="7"/>
    </row>
    <row r="740" spans="1:13">
      <c r="A740" s="6" t="s">
        <v>181</v>
      </c>
      <c r="B740" s="6" t="s">
        <v>587</v>
      </c>
      <c r="C740" s="6" t="s">
        <v>588</v>
      </c>
      <c r="D740" s="5" t="s">
        <v>181</v>
      </c>
      <c r="E740" s="7">
        <v>100</v>
      </c>
      <c r="F740" s="7"/>
      <c r="G740" s="7">
        <v>40004.21</v>
      </c>
      <c r="H740" s="7"/>
      <c r="I740" s="7"/>
      <c r="J740" s="7"/>
      <c r="K740" s="7">
        <v>40004</v>
      </c>
      <c r="L740" s="7"/>
      <c r="M740" s="7"/>
    </row>
    <row r="741" spans="1:13">
      <c r="A741" s="6" t="s">
        <v>181</v>
      </c>
      <c r="B741" s="6" t="s">
        <v>591</v>
      </c>
      <c r="C741" s="6" t="s">
        <v>592</v>
      </c>
      <c r="D741" s="5" t="s">
        <v>181</v>
      </c>
      <c r="E741" s="7">
        <v>100</v>
      </c>
      <c r="F741" s="7"/>
      <c r="G741" s="7">
        <v>40004.21</v>
      </c>
      <c r="H741" s="7"/>
      <c r="I741" s="7"/>
      <c r="J741" s="7"/>
      <c r="K741" s="7">
        <v>40004</v>
      </c>
      <c r="L741" s="7"/>
      <c r="M741" s="7"/>
    </row>
    <row r="742" spans="1:13">
      <c r="A742" s="6" t="s">
        <v>181</v>
      </c>
      <c r="B742" s="6" t="s">
        <v>593</v>
      </c>
      <c r="C742" s="6" t="s">
        <v>258</v>
      </c>
      <c r="D742" s="5" t="s">
        <v>181</v>
      </c>
      <c r="E742" s="7">
        <v>100</v>
      </c>
      <c r="F742" s="7"/>
      <c r="G742" s="7">
        <v>6023.78</v>
      </c>
      <c r="H742" s="7"/>
      <c r="I742" s="7"/>
      <c r="J742" s="7"/>
      <c r="K742" s="7">
        <v>6024</v>
      </c>
      <c r="L742" s="7"/>
      <c r="M742" s="7"/>
    </row>
    <row r="743" spans="1:13">
      <c r="A743" s="6" t="s">
        <v>181</v>
      </c>
      <c r="B743" s="6" t="s">
        <v>594</v>
      </c>
      <c r="C743" s="6" t="s">
        <v>595</v>
      </c>
      <c r="D743" s="5" t="s">
        <v>181</v>
      </c>
      <c r="E743" s="7">
        <v>3.57</v>
      </c>
      <c r="F743" s="7"/>
      <c r="G743" s="7">
        <v>22545.46</v>
      </c>
      <c r="H743" s="7"/>
      <c r="I743" s="7"/>
      <c r="J743" s="7"/>
      <c r="K743" s="7">
        <v>805</v>
      </c>
      <c r="L743" s="7"/>
      <c r="M743" s="7"/>
    </row>
    <row r="744" spans="1:13">
      <c r="A744" s="6" t="s">
        <v>181</v>
      </c>
      <c r="B744" s="6" t="s">
        <v>598</v>
      </c>
      <c r="C744" s="6" t="s">
        <v>599</v>
      </c>
      <c r="D744" s="5" t="s">
        <v>181</v>
      </c>
      <c r="E744" s="7">
        <v>3.82</v>
      </c>
      <c r="F744" s="7"/>
      <c r="G744" s="7">
        <v>22545.46</v>
      </c>
      <c r="H744" s="7"/>
      <c r="I744" s="7"/>
      <c r="J744" s="7"/>
      <c r="K744" s="7">
        <v>861</v>
      </c>
      <c r="L744" s="7"/>
      <c r="M744" s="7"/>
    </row>
    <row r="745" spans="1:13">
      <c r="A745" s="6" t="s">
        <v>181</v>
      </c>
      <c r="B745" s="6" t="s">
        <v>602</v>
      </c>
      <c r="C745" s="6" t="s">
        <v>76</v>
      </c>
      <c r="D745" s="5" t="s">
        <v>181</v>
      </c>
      <c r="E745" s="7">
        <v>6.35</v>
      </c>
      <c r="F745" s="7"/>
      <c r="G745" s="7">
        <v>24297.41</v>
      </c>
      <c r="H745" s="7"/>
      <c r="I745" s="7"/>
      <c r="J745" s="7"/>
      <c r="K745" s="7">
        <v>1543</v>
      </c>
      <c r="L745" s="7"/>
      <c r="M745" s="7"/>
    </row>
    <row r="746" spans="1:13">
      <c r="A746" s="6" t="s">
        <v>181</v>
      </c>
      <c r="B746" s="6" t="s">
        <v>603</v>
      </c>
      <c r="C746" s="6" t="s">
        <v>604</v>
      </c>
      <c r="D746" s="5" t="s">
        <v>181</v>
      </c>
      <c r="E746" s="7">
        <v>2.36</v>
      </c>
      <c r="F746" s="7"/>
      <c r="G746" s="7">
        <v>22545.46</v>
      </c>
      <c r="H746" s="7"/>
      <c r="I746" s="7"/>
      <c r="J746" s="7"/>
      <c r="K746" s="7">
        <v>532</v>
      </c>
      <c r="L746" s="7"/>
      <c r="M746" s="7"/>
    </row>
    <row r="747" spans="1:13">
      <c r="A747" s="6" t="s">
        <v>181</v>
      </c>
      <c r="B747" s="6" t="s">
        <v>605</v>
      </c>
      <c r="C747" s="6" t="s">
        <v>213</v>
      </c>
      <c r="D747" s="5" t="s">
        <v>181</v>
      </c>
      <c r="E747" s="7">
        <v>3.55</v>
      </c>
      <c r="F747" s="7"/>
      <c r="G747" s="7">
        <v>64301.62</v>
      </c>
      <c r="H747" s="7"/>
      <c r="I747" s="7"/>
      <c r="J747" s="7"/>
      <c r="K747" s="7">
        <v>2283</v>
      </c>
      <c r="L747" s="7"/>
      <c r="M747" s="7"/>
    </row>
    <row r="748" spans="1:13">
      <c r="A748" s="6" t="s">
        <v>181</v>
      </c>
      <c r="B748" s="6" t="s">
        <v>606</v>
      </c>
      <c r="C748" s="6" t="s">
        <v>607</v>
      </c>
      <c r="D748" s="5" t="s">
        <v>181</v>
      </c>
      <c r="E748" s="7">
        <v>100</v>
      </c>
      <c r="F748" s="7"/>
      <c r="G748" s="7">
        <v>16723.63</v>
      </c>
      <c r="H748" s="7"/>
      <c r="I748" s="7"/>
      <c r="J748" s="7"/>
      <c r="K748" s="7">
        <v>16724</v>
      </c>
      <c r="L748" s="7"/>
      <c r="M748" s="7"/>
    </row>
    <row r="749" spans="1:13">
      <c r="A749" s="6" t="s">
        <v>181</v>
      </c>
      <c r="B749" s="6" t="s">
        <v>577</v>
      </c>
      <c r="C749" s="6" t="s">
        <v>608</v>
      </c>
      <c r="D749" s="5" t="s">
        <v>181</v>
      </c>
      <c r="E749" s="7">
        <v>100</v>
      </c>
      <c r="F749" s="7"/>
      <c r="G749" s="7">
        <v>8403.82</v>
      </c>
      <c r="H749" s="7"/>
      <c r="I749" s="7"/>
      <c r="J749" s="7"/>
      <c r="K749" s="7">
        <v>8404</v>
      </c>
      <c r="L749" s="7"/>
      <c r="M749" s="7"/>
    </row>
    <row r="750" spans="1:13">
      <c r="A750" s="6" t="s">
        <v>181</v>
      </c>
      <c r="B750" s="6" t="s">
        <v>579</v>
      </c>
      <c r="C750" s="6" t="s">
        <v>609</v>
      </c>
      <c r="D750" s="5" t="s">
        <v>181</v>
      </c>
      <c r="E750" s="7">
        <v>23.5</v>
      </c>
      <c r="F750" s="7"/>
      <c r="G750" s="7">
        <v>23672.73</v>
      </c>
      <c r="H750" s="7"/>
      <c r="I750" s="7"/>
      <c r="J750" s="7"/>
      <c r="K750" s="7">
        <v>5563</v>
      </c>
      <c r="L750" s="7"/>
      <c r="M750" s="7"/>
    </row>
    <row r="751" spans="1:13">
      <c r="A751" s="6" t="s">
        <v>181</v>
      </c>
      <c r="B751" s="6" t="s">
        <v>587</v>
      </c>
      <c r="C751" s="6" t="s">
        <v>610</v>
      </c>
      <c r="D751" s="5" t="s">
        <v>181</v>
      </c>
      <c r="E751" s="7">
        <v>12</v>
      </c>
      <c r="F751" s="7"/>
      <c r="G751" s="7">
        <v>23672.73</v>
      </c>
      <c r="H751" s="7"/>
      <c r="I751" s="7"/>
      <c r="J751" s="7"/>
      <c r="K751" s="7">
        <v>2841</v>
      </c>
      <c r="L751" s="7"/>
      <c r="M751" s="7"/>
    </row>
    <row r="752" spans="1:13">
      <c r="A752" s="6" t="s">
        <v>181</v>
      </c>
      <c r="B752" s="6" t="s">
        <v>593</v>
      </c>
      <c r="C752" s="6" t="s">
        <v>611</v>
      </c>
      <c r="D752" s="5" t="s">
        <v>181</v>
      </c>
      <c r="E752" s="7">
        <v>35.76</v>
      </c>
      <c r="F752" s="7"/>
      <c r="G752" s="7">
        <v>22545.46</v>
      </c>
      <c r="H752" s="7"/>
      <c r="I752" s="7"/>
      <c r="J752" s="7"/>
      <c r="K752" s="7">
        <v>8062</v>
      </c>
      <c r="L752" s="7"/>
      <c r="M752" s="7"/>
    </row>
    <row r="753" spans="1:13">
      <c r="A753" s="6" t="s">
        <v>181</v>
      </c>
      <c r="B753" s="6" t="s">
        <v>612</v>
      </c>
      <c r="C753" s="6" t="s">
        <v>613</v>
      </c>
      <c r="D753" s="5" t="s">
        <v>181</v>
      </c>
      <c r="E753" s="7">
        <v>1.06</v>
      </c>
      <c r="F753" s="7"/>
      <c r="G753" s="7">
        <v>24297.41</v>
      </c>
      <c r="H753" s="7"/>
      <c r="I753" s="7"/>
      <c r="J753" s="7"/>
      <c r="K753" s="7">
        <v>258</v>
      </c>
      <c r="L753" s="7"/>
      <c r="M753" s="7"/>
    </row>
    <row r="754" spans="1:13">
      <c r="A754" s="6" t="s">
        <v>181</v>
      </c>
      <c r="B754" s="6" t="s">
        <v>614</v>
      </c>
      <c r="C754" s="6" t="s">
        <v>615</v>
      </c>
      <c r="D754" s="5" t="s">
        <v>181</v>
      </c>
      <c r="E754" s="7">
        <v>5</v>
      </c>
      <c r="F754" s="7"/>
      <c r="G754" s="7">
        <v>87049.02</v>
      </c>
      <c r="H754" s="7"/>
      <c r="I754" s="7"/>
      <c r="J754" s="7"/>
      <c r="K754" s="7">
        <v>4352</v>
      </c>
      <c r="L754" s="7"/>
      <c r="M754" s="7"/>
    </row>
    <row r="755" spans="1:13">
      <c r="A755" s="6" t="s">
        <v>181</v>
      </c>
      <c r="B755" s="6" t="s">
        <v>616</v>
      </c>
      <c r="C755" s="6" t="s">
        <v>617</v>
      </c>
      <c r="D755" s="5" t="s">
        <v>181</v>
      </c>
      <c r="E755" s="7">
        <v>100</v>
      </c>
      <c r="F755" s="7"/>
      <c r="G755" s="7">
        <v>23759.02</v>
      </c>
      <c r="H755" s="7"/>
      <c r="I755" s="7"/>
      <c r="J755" s="7"/>
      <c r="K755" s="7">
        <v>23759</v>
      </c>
      <c r="L755" s="7"/>
      <c r="M755" s="7"/>
    </row>
    <row r="756" spans="1:13">
      <c r="A756" s="6" t="s">
        <v>181</v>
      </c>
      <c r="B756" s="6" t="s">
        <v>577</v>
      </c>
      <c r="C756" s="6" t="s">
        <v>618</v>
      </c>
      <c r="D756" s="5" t="s">
        <v>181</v>
      </c>
      <c r="E756" s="7">
        <v>100</v>
      </c>
      <c r="F756" s="7"/>
      <c r="G756" s="7">
        <v>2401.09</v>
      </c>
      <c r="H756" s="7"/>
      <c r="I756" s="7"/>
      <c r="J756" s="7"/>
      <c r="K756" s="7">
        <v>2401</v>
      </c>
      <c r="L756" s="7"/>
      <c r="M756" s="7"/>
    </row>
    <row r="757" spans="1:13">
      <c r="A757" s="6" t="s">
        <v>181</v>
      </c>
      <c r="B757" s="6" t="s">
        <v>612</v>
      </c>
      <c r="C757" s="6" t="s">
        <v>620</v>
      </c>
      <c r="D757" s="5" t="s">
        <v>181</v>
      </c>
      <c r="E757" s="7">
        <v>100</v>
      </c>
      <c r="F757" s="7"/>
      <c r="G757" s="7">
        <v>89.52</v>
      </c>
      <c r="H757" s="7"/>
      <c r="I757" s="7"/>
      <c r="J757" s="7"/>
      <c r="K757" s="7">
        <v>90</v>
      </c>
      <c r="L757" s="7"/>
      <c r="M757" s="7"/>
    </row>
    <row r="758" spans="1:13">
      <c r="A758" s="6" t="s">
        <v>181</v>
      </c>
      <c r="B758" s="6" t="s">
        <v>621</v>
      </c>
      <c r="C758" s="6" t="s">
        <v>622</v>
      </c>
      <c r="D758" s="5" t="s">
        <v>181</v>
      </c>
      <c r="E758" s="7">
        <v>100</v>
      </c>
      <c r="F758" s="7"/>
      <c r="G758" s="7">
        <v>21268.4</v>
      </c>
      <c r="H758" s="7"/>
      <c r="I758" s="7"/>
      <c r="J758" s="7"/>
      <c r="K758" s="7">
        <v>21268</v>
      </c>
      <c r="L758" s="7"/>
      <c r="M758" s="7"/>
    </row>
    <row r="759" spans="1:13">
      <c r="A759" s="6" t="s">
        <v>181</v>
      </c>
      <c r="B759" s="6" t="s">
        <v>625</v>
      </c>
      <c r="C759" s="6" t="s">
        <v>626</v>
      </c>
      <c r="D759" s="5" t="s">
        <v>181</v>
      </c>
      <c r="E759" s="7">
        <v>100</v>
      </c>
      <c r="F759" s="7"/>
      <c r="G759" s="7">
        <v>21268.4</v>
      </c>
      <c r="H759" s="7"/>
      <c r="I759" s="7"/>
      <c r="J759" s="7"/>
      <c r="K759" s="7">
        <v>21268</v>
      </c>
      <c r="L759" s="7"/>
      <c r="M759" s="7"/>
    </row>
    <row r="760" spans="1:13">
      <c r="A760" s="6" t="s">
        <v>181</v>
      </c>
      <c r="B760" s="6" t="s">
        <v>627</v>
      </c>
      <c r="C760" s="6" t="s">
        <v>216</v>
      </c>
      <c r="D760" s="5" t="s">
        <v>181</v>
      </c>
      <c r="E760" s="7">
        <v>9</v>
      </c>
      <c r="F760" s="7"/>
      <c r="G760" s="7">
        <v>115160.49</v>
      </c>
      <c r="H760" s="7"/>
      <c r="I760" s="7"/>
      <c r="J760" s="7"/>
      <c r="K760" s="7">
        <v>10364</v>
      </c>
      <c r="L760" s="7"/>
      <c r="M760" s="7"/>
    </row>
    <row r="761" spans="1:13">
      <c r="A761" s="6" t="s">
        <v>181</v>
      </c>
      <c r="B761" s="6" t="s">
        <v>662</v>
      </c>
      <c r="C761" s="6" t="s">
        <v>640</v>
      </c>
      <c r="D761" s="5" t="s">
        <v>181</v>
      </c>
      <c r="E761" s="7">
        <v>100</v>
      </c>
      <c r="F761" s="7"/>
      <c r="G761" s="7">
        <v>64252.32</v>
      </c>
      <c r="H761" s="7"/>
      <c r="I761" s="7"/>
      <c r="J761" s="7"/>
      <c r="K761" s="7">
        <v>64252</v>
      </c>
      <c r="L761" s="7"/>
      <c r="M761" s="7"/>
    </row>
    <row r="762" spans="1:13">
      <c r="A762" s="6" t="s">
        <v>181</v>
      </c>
      <c r="B762" s="6" t="s">
        <v>704</v>
      </c>
      <c r="C762" s="6" t="s">
        <v>705</v>
      </c>
      <c r="D762" s="5" t="s">
        <v>181</v>
      </c>
      <c r="E762" s="7">
        <v>100</v>
      </c>
      <c r="F762" s="7"/>
      <c r="G762" s="7">
        <v>61272.61</v>
      </c>
      <c r="H762" s="7"/>
      <c r="I762" s="7"/>
      <c r="J762" s="7"/>
      <c r="K762" s="7">
        <v>61273</v>
      </c>
      <c r="L762" s="7"/>
      <c r="M762" s="7"/>
    </row>
    <row r="763" spans="1:13">
      <c r="A763" s="6" t="s">
        <v>181</v>
      </c>
      <c r="B763" s="6" t="s">
        <v>631</v>
      </c>
      <c r="C763" s="6" t="s">
        <v>100</v>
      </c>
      <c r="D763" s="5" t="s">
        <v>181</v>
      </c>
      <c r="E763" s="7">
        <v>100</v>
      </c>
      <c r="F763" s="7"/>
      <c r="G763" s="7">
        <v>125524.93</v>
      </c>
      <c r="H763" s="7"/>
      <c r="I763" s="7"/>
      <c r="J763" s="7"/>
      <c r="K763" s="7">
        <v>125525</v>
      </c>
      <c r="L763" s="7"/>
      <c r="M763" s="7"/>
    </row>
    <row r="764" spans="1:13">
      <c r="A764" s="6" t="s">
        <v>181</v>
      </c>
      <c r="B764" s="6" t="s">
        <v>663</v>
      </c>
      <c r="C764" s="6" t="s">
        <v>173</v>
      </c>
      <c r="D764" s="5" t="s">
        <v>181</v>
      </c>
      <c r="E764" s="7">
        <v>100</v>
      </c>
      <c r="F764" s="7"/>
      <c r="G764" s="7">
        <v>125524.93</v>
      </c>
      <c r="H764" s="7"/>
      <c r="I764" s="7"/>
      <c r="J764" s="7"/>
      <c r="K764" s="7">
        <v>125525</v>
      </c>
      <c r="L764" s="7"/>
      <c r="M764" s="7"/>
    </row>
    <row r="765" spans="1:13">
      <c r="A765" s="6" t="s">
        <v>181</v>
      </c>
      <c r="B765" s="6" t="s">
        <v>181</v>
      </c>
      <c r="C765" s="6" t="s">
        <v>181</v>
      </c>
      <c r="D765" s="5" t="s">
        <v>181</v>
      </c>
      <c r="E765" s="7"/>
      <c r="F765" s="7"/>
      <c r="G765" s="7"/>
      <c r="H765" s="7"/>
      <c r="I765" s="7"/>
      <c r="J765" s="7"/>
      <c r="K765" s="7"/>
      <c r="L765" s="7"/>
      <c r="M765" s="7"/>
    </row>
    <row r="766" ht="27" spans="1:13">
      <c r="A766" s="6" t="s">
        <v>888</v>
      </c>
      <c r="B766" s="6" t="s">
        <v>181</v>
      </c>
      <c r="C766" s="6" t="s">
        <v>889</v>
      </c>
      <c r="D766" s="5" t="s">
        <v>181</v>
      </c>
      <c r="E766" s="7"/>
      <c r="F766" s="7"/>
      <c r="G766" s="7"/>
      <c r="H766" s="7"/>
      <c r="I766" s="7"/>
      <c r="J766" s="7">
        <v>1373906</v>
      </c>
      <c r="K766" s="7">
        <v>347137</v>
      </c>
      <c r="L766" s="7">
        <v>46702</v>
      </c>
      <c r="M766" s="7">
        <v>46335</v>
      </c>
    </row>
    <row r="767" spans="1:13">
      <c r="A767" s="6" t="s">
        <v>181</v>
      </c>
      <c r="B767" s="6" t="s">
        <v>181</v>
      </c>
      <c r="C767" s="6" t="s">
        <v>890</v>
      </c>
      <c r="D767" s="5" t="s">
        <v>181</v>
      </c>
      <c r="E767" s="7"/>
      <c r="F767" s="7"/>
      <c r="G767" s="7"/>
      <c r="H767" s="7"/>
      <c r="I767" s="7"/>
      <c r="J767" s="7"/>
      <c r="K767" s="7"/>
      <c r="L767" s="7"/>
      <c r="M767" s="7"/>
    </row>
    <row r="768" spans="1:13">
      <c r="A768" s="6" t="s">
        <v>181</v>
      </c>
      <c r="B768" s="6" t="s">
        <v>891</v>
      </c>
      <c r="C768" s="6" t="s">
        <v>892</v>
      </c>
      <c r="D768" s="5" t="s">
        <v>190</v>
      </c>
      <c r="E768" s="7">
        <v>363</v>
      </c>
      <c r="F768" s="7"/>
      <c r="G768" s="7">
        <v>50.91</v>
      </c>
      <c r="H768" s="7">
        <v>19.97</v>
      </c>
      <c r="I768" s="7">
        <v>30.11</v>
      </c>
      <c r="J768" s="7"/>
      <c r="K768" s="7">
        <v>18480</v>
      </c>
      <c r="L768" s="7">
        <v>7249</v>
      </c>
      <c r="M768" s="7">
        <v>10930</v>
      </c>
    </row>
    <row r="769" spans="1:13">
      <c r="A769" s="6" t="s">
        <v>181</v>
      </c>
      <c r="B769" s="6" t="s">
        <v>181</v>
      </c>
      <c r="C769" s="6" t="s">
        <v>893</v>
      </c>
      <c r="D769" s="5" t="s">
        <v>181</v>
      </c>
      <c r="E769" s="7"/>
      <c r="F769" s="7"/>
      <c r="G769" s="7"/>
      <c r="H769" s="7"/>
      <c r="I769" s="7"/>
      <c r="J769" s="7"/>
      <c r="K769" s="7"/>
      <c r="L769" s="7"/>
      <c r="M769" s="7"/>
    </row>
    <row r="770" spans="1:13">
      <c r="A770" s="6" t="s">
        <v>181</v>
      </c>
      <c r="B770" s="6" t="s">
        <v>894</v>
      </c>
      <c r="C770" s="6" t="s">
        <v>895</v>
      </c>
      <c r="D770" s="5" t="s">
        <v>731</v>
      </c>
      <c r="E770" s="7">
        <v>600</v>
      </c>
      <c r="F770" s="7"/>
      <c r="G770" s="7">
        <v>10.25</v>
      </c>
      <c r="H770" s="7">
        <v>5.81</v>
      </c>
      <c r="I770" s="7">
        <v>4.03</v>
      </c>
      <c r="J770" s="7"/>
      <c r="K770" s="7">
        <v>6150</v>
      </c>
      <c r="L770" s="7">
        <v>3486</v>
      </c>
      <c r="M770" s="7">
        <v>2418</v>
      </c>
    </row>
    <row r="771" spans="1:13">
      <c r="A771" s="6" t="s">
        <v>181</v>
      </c>
      <c r="B771" s="6" t="s">
        <v>181</v>
      </c>
      <c r="C771" s="6" t="s">
        <v>896</v>
      </c>
      <c r="D771" s="5" t="s">
        <v>181</v>
      </c>
      <c r="E771" s="7"/>
      <c r="F771" s="7"/>
      <c r="G771" s="7"/>
      <c r="H771" s="7"/>
      <c r="I771" s="7"/>
      <c r="J771" s="7"/>
      <c r="K771" s="7"/>
      <c r="L771" s="7"/>
      <c r="M771" s="7"/>
    </row>
    <row r="772" ht="27" spans="1:13">
      <c r="A772" s="6" t="s">
        <v>181</v>
      </c>
      <c r="B772" s="6" t="s">
        <v>897</v>
      </c>
      <c r="C772" s="6" t="s">
        <v>898</v>
      </c>
      <c r="D772" s="5" t="s">
        <v>899</v>
      </c>
      <c r="E772" s="7">
        <v>12</v>
      </c>
      <c r="F772" s="7"/>
      <c r="G772" s="7">
        <v>265.31</v>
      </c>
      <c r="H772" s="7">
        <v>222.68</v>
      </c>
      <c r="I772" s="7">
        <v>36.67</v>
      </c>
      <c r="J772" s="7"/>
      <c r="K772" s="7">
        <v>3184</v>
      </c>
      <c r="L772" s="7">
        <v>2672</v>
      </c>
      <c r="M772" s="7">
        <v>440</v>
      </c>
    </row>
    <row r="773" ht="27" spans="1:13">
      <c r="A773" s="6" t="s">
        <v>181</v>
      </c>
      <c r="B773" s="6" t="s">
        <v>900</v>
      </c>
      <c r="C773" s="6" t="s">
        <v>901</v>
      </c>
      <c r="D773" s="5" t="s">
        <v>902</v>
      </c>
      <c r="E773" s="7">
        <v>14.4</v>
      </c>
      <c r="F773" s="7"/>
      <c r="G773" s="7">
        <v>392.24</v>
      </c>
      <c r="H773" s="7">
        <v>307.5</v>
      </c>
      <c r="I773" s="7">
        <v>84.74</v>
      </c>
      <c r="J773" s="7"/>
      <c r="K773" s="7">
        <v>5648</v>
      </c>
      <c r="L773" s="7">
        <v>4428</v>
      </c>
      <c r="M773" s="7">
        <v>1220</v>
      </c>
    </row>
    <row r="774" ht="27" spans="1:13">
      <c r="A774" s="6" t="s">
        <v>181</v>
      </c>
      <c r="B774" s="6" t="s">
        <v>903</v>
      </c>
      <c r="C774" s="6" t="s">
        <v>904</v>
      </c>
      <c r="D774" s="5" t="s">
        <v>731</v>
      </c>
      <c r="E774" s="7">
        <v>12</v>
      </c>
      <c r="F774" s="7"/>
      <c r="G774" s="7">
        <v>207.69</v>
      </c>
      <c r="H774" s="7">
        <v>185.79</v>
      </c>
      <c r="I774" s="7">
        <v>13.09</v>
      </c>
      <c r="J774" s="7"/>
      <c r="K774" s="7">
        <v>2492</v>
      </c>
      <c r="L774" s="7">
        <v>2229</v>
      </c>
      <c r="M774" s="7">
        <v>157</v>
      </c>
    </row>
    <row r="775" ht="27" spans="1:13">
      <c r="A775" s="6" t="s">
        <v>181</v>
      </c>
      <c r="B775" s="6" t="s">
        <v>905</v>
      </c>
      <c r="C775" s="6" t="s">
        <v>906</v>
      </c>
      <c r="D775" s="5" t="s">
        <v>360</v>
      </c>
      <c r="E775" s="7">
        <v>12</v>
      </c>
      <c r="F775" s="7"/>
      <c r="G775" s="7">
        <v>116.39</v>
      </c>
      <c r="H775" s="7">
        <v>110.66</v>
      </c>
      <c r="I775" s="7">
        <v>5.73</v>
      </c>
      <c r="J775" s="7"/>
      <c r="K775" s="7">
        <v>1397</v>
      </c>
      <c r="L775" s="7">
        <v>1328</v>
      </c>
      <c r="M775" s="7">
        <v>69</v>
      </c>
    </row>
    <row r="776" spans="1:13">
      <c r="A776" s="6" t="s">
        <v>181</v>
      </c>
      <c r="B776" s="6" t="s">
        <v>181</v>
      </c>
      <c r="C776" s="6" t="s">
        <v>907</v>
      </c>
      <c r="D776" s="5" t="s">
        <v>181</v>
      </c>
      <c r="E776" s="7"/>
      <c r="F776" s="7"/>
      <c r="G776" s="7"/>
      <c r="H776" s="7"/>
      <c r="I776" s="7"/>
      <c r="J776" s="7"/>
      <c r="K776" s="7"/>
      <c r="L776" s="7"/>
      <c r="M776" s="7"/>
    </row>
    <row r="777" ht="27" spans="1:13">
      <c r="A777" s="6" t="s">
        <v>181</v>
      </c>
      <c r="B777" s="6" t="s">
        <v>908</v>
      </c>
      <c r="C777" s="6" t="s">
        <v>909</v>
      </c>
      <c r="D777" s="5" t="s">
        <v>910</v>
      </c>
      <c r="E777" s="7">
        <v>41</v>
      </c>
      <c r="F777" s="7"/>
      <c r="G777" s="7">
        <v>1438</v>
      </c>
      <c r="H777" s="7">
        <v>587.83</v>
      </c>
      <c r="I777" s="7">
        <v>737.56</v>
      </c>
      <c r="J777" s="7"/>
      <c r="K777" s="7">
        <v>58958</v>
      </c>
      <c r="L777" s="7">
        <v>24101</v>
      </c>
      <c r="M777" s="7">
        <v>30240</v>
      </c>
    </row>
    <row r="778" ht="67.5" spans="1:13">
      <c r="A778" s="6" t="s">
        <v>181</v>
      </c>
      <c r="B778" s="6" t="s">
        <v>181</v>
      </c>
      <c r="C778" s="6" t="s">
        <v>911</v>
      </c>
      <c r="D778" s="5" t="s">
        <v>660</v>
      </c>
      <c r="E778" s="7">
        <v>5.65</v>
      </c>
      <c r="F778" s="7"/>
      <c r="G778" s="7">
        <v>36626.74</v>
      </c>
      <c r="H778" s="7">
        <v>21392.67</v>
      </c>
      <c r="I778" s="7">
        <v>15234.07</v>
      </c>
      <c r="J778" s="7"/>
      <c r="K778" s="7">
        <v>2069</v>
      </c>
      <c r="L778" s="7">
        <v>1209</v>
      </c>
      <c r="M778" s="7">
        <v>861</v>
      </c>
    </row>
    <row r="779" spans="1:13">
      <c r="A779" s="6" t="s">
        <v>181</v>
      </c>
      <c r="B779" s="6" t="s">
        <v>181</v>
      </c>
      <c r="C779" s="6" t="s">
        <v>912</v>
      </c>
      <c r="D779" s="5" t="s">
        <v>660</v>
      </c>
      <c r="E779" s="7">
        <v>0.7</v>
      </c>
      <c r="F779" s="7">
        <v>369000</v>
      </c>
      <c r="G779" s="7"/>
      <c r="H779" s="7"/>
      <c r="I779" s="7"/>
      <c r="J779" s="7">
        <v>2583</v>
      </c>
      <c r="K779" s="7"/>
      <c r="L779" s="7"/>
      <c r="M779" s="7"/>
    </row>
    <row r="780" spans="1:13">
      <c r="A780" s="6" t="s">
        <v>181</v>
      </c>
      <c r="B780" s="6" t="s">
        <v>181</v>
      </c>
      <c r="C780" s="6" t="s">
        <v>913</v>
      </c>
      <c r="D780" s="5" t="s">
        <v>660</v>
      </c>
      <c r="E780" s="7">
        <v>9</v>
      </c>
      <c r="F780" s="7">
        <v>1129132.01</v>
      </c>
      <c r="G780" s="7"/>
      <c r="H780" s="7"/>
      <c r="I780" s="7"/>
      <c r="J780" s="7">
        <v>101622</v>
      </c>
      <c r="K780" s="7"/>
      <c r="L780" s="7"/>
      <c r="M780" s="7"/>
    </row>
    <row r="781" spans="1:13">
      <c r="A781" s="6" t="s">
        <v>181</v>
      </c>
      <c r="B781" s="6" t="s">
        <v>181</v>
      </c>
      <c r="C781" s="6" t="s">
        <v>914</v>
      </c>
      <c r="D781" s="5" t="s">
        <v>181</v>
      </c>
      <c r="E781" s="7"/>
      <c r="F781" s="7"/>
      <c r="G781" s="7"/>
      <c r="H781" s="7"/>
      <c r="I781" s="7"/>
      <c r="J781" s="7">
        <v>1230754</v>
      </c>
      <c r="K781" s="7"/>
      <c r="L781" s="7"/>
      <c r="M781" s="7"/>
    </row>
    <row r="782" spans="1:13">
      <c r="A782" s="6" t="s">
        <v>181</v>
      </c>
      <c r="B782" s="6" t="s">
        <v>181</v>
      </c>
      <c r="C782" s="6" t="s">
        <v>703</v>
      </c>
      <c r="D782" s="5" t="s">
        <v>181</v>
      </c>
      <c r="E782" s="7"/>
      <c r="F782" s="7"/>
      <c r="G782" s="7"/>
      <c r="H782" s="7"/>
      <c r="I782" s="7"/>
      <c r="J782" s="7">
        <v>143152</v>
      </c>
      <c r="K782" s="7"/>
      <c r="L782" s="7"/>
      <c r="M782" s="7"/>
    </row>
    <row r="783" spans="1:13">
      <c r="A783" s="6" t="s">
        <v>181</v>
      </c>
      <c r="B783" s="6" t="s">
        <v>181</v>
      </c>
      <c r="C783" s="6" t="s">
        <v>562</v>
      </c>
      <c r="D783" s="5" t="s">
        <v>181</v>
      </c>
      <c r="E783" s="7"/>
      <c r="F783" s="7"/>
      <c r="G783" s="7"/>
      <c r="H783" s="7"/>
      <c r="I783" s="7"/>
      <c r="J783" s="7">
        <v>1373906</v>
      </c>
      <c r="K783" s="7">
        <v>98379</v>
      </c>
      <c r="L783" s="7">
        <v>46702</v>
      </c>
      <c r="M783" s="7">
        <v>46335</v>
      </c>
    </row>
    <row r="784" spans="1:13">
      <c r="A784" s="6" t="s">
        <v>181</v>
      </c>
      <c r="B784" s="6" t="s">
        <v>181</v>
      </c>
      <c r="C784" s="6" t="s">
        <v>181</v>
      </c>
      <c r="D784" s="5" t="s">
        <v>181</v>
      </c>
      <c r="E784" s="7"/>
      <c r="F784" s="7"/>
      <c r="G784" s="7"/>
      <c r="H784" s="7"/>
      <c r="I784" s="7"/>
      <c r="J784" s="7"/>
      <c r="K784" s="7"/>
      <c r="L784" s="7"/>
      <c r="M784" s="7"/>
    </row>
    <row r="785" spans="1:13">
      <c r="A785" s="6" t="s">
        <v>181</v>
      </c>
      <c r="B785" s="6" t="s">
        <v>354</v>
      </c>
      <c r="C785" s="6" t="s">
        <v>210</v>
      </c>
      <c r="D785" s="5" t="s">
        <v>181</v>
      </c>
      <c r="E785" s="7">
        <v>100</v>
      </c>
      <c r="F785" s="7"/>
      <c r="G785" s="7">
        <v>260905.44</v>
      </c>
      <c r="H785" s="7"/>
      <c r="I785" s="7"/>
      <c r="J785" s="7"/>
      <c r="K785" s="7">
        <v>260905</v>
      </c>
      <c r="L785" s="7"/>
      <c r="M785" s="7"/>
    </row>
    <row r="786" spans="1:13">
      <c r="A786" s="6" t="s">
        <v>181</v>
      </c>
      <c r="B786" s="6" t="s">
        <v>577</v>
      </c>
      <c r="C786" s="6" t="s">
        <v>578</v>
      </c>
      <c r="D786" s="5" t="s">
        <v>181</v>
      </c>
      <c r="E786" s="7">
        <v>100</v>
      </c>
      <c r="F786" s="7"/>
      <c r="G786" s="7">
        <v>241530.58</v>
      </c>
      <c r="H786" s="7"/>
      <c r="I786" s="7"/>
      <c r="J786" s="7"/>
      <c r="K786" s="7">
        <v>241531</v>
      </c>
      <c r="L786" s="7"/>
      <c r="M786" s="7"/>
    </row>
    <row r="787" spans="1:13">
      <c r="A787" s="6" t="s">
        <v>181</v>
      </c>
      <c r="B787" s="6" t="s">
        <v>579</v>
      </c>
      <c r="C787" s="6" t="s">
        <v>580</v>
      </c>
      <c r="D787" s="5" t="s">
        <v>181</v>
      </c>
      <c r="E787" s="7">
        <v>100</v>
      </c>
      <c r="F787" s="7"/>
      <c r="G787" s="7">
        <v>98378.68</v>
      </c>
      <c r="H787" s="7"/>
      <c r="I787" s="7"/>
      <c r="J787" s="7"/>
      <c r="K787" s="7">
        <v>98379</v>
      </c>
      <c r="L787" s="7"/>
      <c r="M787" s="7"/>
    </row>
    <row r="788" spans="1:13">
      <c r="A788" s="6" t="s">
        <v>181</v>
      </c>
      <c r="B788" s="6" t="s">
        <v>581</v>
      </c>
      <c r="C788" s="6" t="s">
        <v>582</v>
      </c>
      <c r="D788" s="5" t="s">
        <v>181</v>
      </c>
      <c r="E788" s="7">
        <v>100</v>
      </c>
      <c r="F788" s="7"/>
      <c r="G788" s="7">
        <v>46702.39</v>
      </c>
      <c r="H788" s="7"/>
      <c r="I788" s="7"/>
      <c r="J788" s="7"/>
      <c r="K788" s="7">
        <v>46702</v>
      </c>
      <c r="L788" s="7"/>
      <c r="M788" s="7"/>
    </row>
    <row r="789" spans="1:13">
      <c r="A789" s="6" t="s">
        <v>181</v>
      </c>
      <c r="B789" s="6" t="s">
        <v>583</v>
      </c>
      <c r="C789" s="6" t="s">
        <v>584</v>
      </c>
      <c r="D789" s="5" t="s">
        <v>181</v>
      </c>
      <c r="E789" s="7">
        <v>100</v>
      </c>
      <c r="F789" s="7"/>
      <c r="G789" s="7">
        <v>5341.54</v>
      </c>
      <c r="H789" s="7"/>
      <c r="I789" s="7"/>
      <c r="J789" s="7"/>
      <c r="K789" s="7">
        <v>5342</v>
      </c>
      <c r="L789" s="7"/>
      <c r="M789" s="7"/>
    </row>
    <row r="790" spans="1:13">
      <c r="A790" s="6" t="s">
        <v>181</v>
      </c>
      <c r="B790" s="6" t="s">
        <v>585</v>
      </c>
      <c r="C790" s="6" t="s">
        <v>586</v>
      </c>
      <c r="D790" s="5" t="s">
        <v>181</v>
      </c>
      <c r="E790" s="7">
        <v>100</v>
      </c>
      <c r="F790" s="7"/>
      <c r="G790" s="7">
        <v>46334.75</v>
      </c>
      <c r="H790" s="7"/>
      <c r="I790" s="7"/>
      <c r="J790" s="7"/>
      <c r="K790" s="7">
        <v>46335</v>
      </c>
      <c r="L790" s="7"/>
      <c r="M790" s="7"/>
    </row>
    <row r="791" spans="1:13">
      <c r="A791" s="6" t="s">
        <v>181</v>
      </c>
      <c r="B791" s="6" t="s">
        <v>587</v>
      </c>
      <c r="C791" s="6" t="s">
        <v>588</v>
      </c>
      <c r="D791" s="5" t="s">
        <v>181</v>
      </c>
      <c r="E791" s="7">
        <v>100</v>
      </c>
      <c r="F791" s="7"/>
      <c r="G791" s="7">
        <v>143151.9</v>
      </c>
      <c r="H791" s="7"/>
      <c r="I791" s="7"/>
      <c r="J791" s="7"/>
      <c r="K791" s="7">
        <v>143152</v>
      </c>
      <c r="L791" s="7"/>
      <c r="M791" s="7"/>
    </row>
    <row r="792" spans="1:13">
      <c r="A792" s="6" t="s">
        <v>181</v>
      </c>
      <c r="B792" s="6" t="s">
        <v>591</v>
      </c>
      <c r="C792" s="6" t="s">
        <v>592</v>
      </c>
      <c r="D792" s="5" t="s">
        <v>181</v>
      </c>
      <c r="E792" s="7">
        <v>100</v>
      </c>
      <c r="F792" s="7"/>
      <c r="G792" s="7">
        <v>143151.9</v>
      </c>
      <c r="H792" s="7"/>
      <c r="I792" s="7"/>
      <c r="J792" s="7"/>
      <c r="K792" s="7">
        <v>143152</v>
      </c>
      <c r="L792" s="7"/>
      <c r="M792" s="7"/>
    </row>
    <row r="793" spans="1:13">
      <c r="A793" s="6" t="s">
        <v>181</v>
      </c>
      <c r="B793" s="6" t="s">
        <v>593</v>
      </c>
      <c r="C793" s="6" t="s">
        <v>258</v>
      </c>
      <c r="D793" s="5" t="s">
        <v>181</v>
      </c>
      <c r="E793" s="7">
        <v>100</v>
      </c>
      <c r="F793" s="7"/>
      <c r="G793" s="7">
        <v>19374.86</v>
      </c>
      <c r="H793" s="7"/>
      <c r="I793" s="7"/>
      <c r="J793" s="7"/>
      <c r="K793" s="7">
        <v>19375</v>
      </c>
      <c r="L793" s="7"/>
      <c r="M793" s="7"/>
    </row>
    <row r="794" spans="1:13">
      <c r="A794" s="6" t="s">
        <v>181</v>
      </c>
      <c r="B794" s="6" t="s">
        <v>594</v>
      </c>
      <c r="C794" s="6" t="s">
        <v>595</v>
      </c>
      <c r="D794" s="5" t="s">
        <v>181</v>
      </c>
      <c r="E794" s="7">
        <v>3.57</v>
      </c>
      <c r="F794" s="7"/>
      <c r="G794" s="7">
        <v>46702.39</v>
      </c>
      <c r="H794" s="7"/>
      <c r="I794" s="7"/>
      <c r="J794" s="7"/>
      <c r="K794" s="7">
        <v>1667</v>
      </c>
      <c r="L794" s="7"/>
      <c r="M794" s="7"/>
    </row>
    <row r="795" spans="1:13">
      <c r="A795" s="6" t="s">
        <v>181</v>
      </c>
      <c r="B795" s="6" t="s">
        <v>598</v>
      </c>
      <c r="C795" s="6" t="s">
        <v>599</v>
      </c>
      <c r="D795" s="5" t="s">
        <v>181</v>
      </c>
      <c r="E795" s="7">
        <v>3.82</v>
      </c>
      <c r="F795" s="7"/>
      <c r="G795" s="7">
        <v>46702.39</v>
      </c>
      <c r="H795" s="7"/>
      <c r="I795" s="7"/>
      <c r="J795" s="7"/>
      <c r="K795" s="7">
        <v>1784</v>
      </c>
      <c r="L795" s="7"/>
      <c r="M795" s="7"/>
    </row>
    <row r="796" spans="1:13">
      <c r="A796" s="6" t="s">
        <v>181</v>
      </c>
      <c r="B796" s="6" t="s">
        <v>602</v>
      </c>
      <c r="C796" s="6" t="s">
        <v>76</v>
      </c>
      <c r="D796" s="5" t="s">
        <v>181</v>
      </c>
      <c r="E796" s="7">
        <v>6.35</v>
      </c>
      <c r="F796" s="7"/>
      <c r="G796" s="7">
        <v>98378.68</v>
      </c>
      <c r="H796" s="7"/>
      <c r="I796" s="7"/>
      <c r="J796" s="7"/>
      <c r="K796" s="7">
        <v>6247</v>
      </c>
      <c r="L796" s="7"/>
      <c r="M796" s="7"/>
    </row>
    <row r="797" spans="1:13">
      <c r="A797" s="6" t="s">
        <v>181</v>
      </c>
      <c r="B797" s="6" t="s">
        <v>603</v>
      </c>
      <c r="C797" s="6" t="s">
        <v>604</v>
      </c>
      <c r="D797" s="5" t="s">
        <v>181</v>
      </c>
      <c r="E797" s="7">
        <v>2.36</v>
      </c>
      <c r="F797" s="7"/>
      <c r="G797" s="7">
        <v>46702.39</v>
      </c>
      <c r="H797" s="7"/>
      <c r="I797" s="7"/>
      <c r="J797" s="7"/>
      <c r="K797" s="7">
        <v>1102</v>
      </c>
      <c r="L797" s="7"/>
      <c r="M797" s="7"/>
    </row>
    <row r="798" spans="1:13">
      <c r="A798" s="6" t="s">
        <v>181</v>
      </c>
      <c r="B798" s="6" t="s">
        <v>605</v>
      </c>
      <c r="C798" s="6" t="s">
        <v>213</v>
      </c>
      <c r="D798" s="5" t="s">
        <v>181</v>
      </c>
      <c r="E798" s="7">
        <v>3.55</v>
      </c>
      <c r="F798" s="7"/>
      <c r="G798" s="7">
        <v>241530.58</v>
      </c>
      <c r="H798" s="7"/>
      <c r="I798" s="7"/>
      <c r="J798" s="7"/>
      <c r="K798" s="7">
        <v>8574</v>
      </c>
      <c r="L798" s="7"/>
      <c r="M798" s="7"/>
    </row>
    <row r="799" spans="1:13">
      <c r="A799" s="6" t="s">
        <v>181</v>
      </c>
      <c r="B799" s="6" t="s">
        <v>606</v>
      </c>
      <c r="C799" s="6" t="s">
        <v>607</v>
      </c>
      <c r="D799" s="5" t="s">
        <v>181</v>
      </c>
      <c r="E799" s="7">
        <v>100</v>
      </c>
      <c r="F799" s="7"/>
      <c r="G799" s="7">
        <v>35151.9</v>
      </c>
      <c r="H799" s="7"/>
      <c r="I799" s="7"/>
      <c r="J799" s="7"/>
      <c r="K799" s="7">
        <v>35152</v>
      </c>
      <c r="L799" s="7"/>
      <c r="M799" s="7"/>
    </row>
    <row r="800" spans="1:13">
      <c r="A800" s="6" t="s">
        <v>181</v>
      </c>
      <c r="B800" s="6" t="s">
        <v>577</v>
      </c>
      <c r="C800" s="6" t="s">
        <v>608</v>
      </c>
      <c r="D800" s="5" t="s">
        <v>181</v>
      </c>
      <c r="E800" s="7">
        <v>100</v>
      </c>
      <c r="F800" s="7"/>
      <c r="G800" s="7">
        <v>17408.31</v>
      </c>
      <c r="H800" s="7"/>
      <c r="I800" s="7"/>
      <c r="J800" s="7"/>
      <c r="K800" s="7">
        <v>17408</v>
      </c>
      <c r="L800" s="7"/>
      <c r="M800" s="7"/>
    </row>
    <row r="801" spans="1:13">
      <c r="A801" s="6" t="s">
        <v>181</v>
      </c>
      <c r="B801" s="6" t="s">
        <v>579</v>
      </c>
      <c r="C801" s="6" t="s">
        <v>609</v>
      </c>
      <c r="D801" s="5" t="s">
        <v>181</v>
      </c>
      <c r="E801" s="7">
        <v>23.5</v>
      </c>
      <c r="F801" s="7"/>
      <c r="G801" s="7">
        <v>49037.51</v>
      </c>
      <c r="H801" s="7"/>
      <c r="I801" s="7"/>
      <c r="J801" s="7"/>
      <c r="K801" s="7">
        <v>11524</v>
      </c>
      <c r="L801" s="7"/>
      <c r="M801" s="7"/>
    </row>
    <row r="802" spans="1:13">
      <c r="A802" s="6" t="s">
        <v>181</v>
      </c>
      <c r="B802" s="6" t="s">
        <v>587</v>
      </c>
      <c r="C802" s="6" t="s">
        <v>610</v>
      </c>
      <c r="D802" s="5" t="s">
        <v>181</v>
      </c>
      <c r="E802" s="7">
        <v>12</v>
      </c>
      <c r="F802" s="7"/>
      <c r="G802" s="7">
        <v>49037.51</v>
      </c>
      <c r="H802" s="7"/>
      <c r="I802" s="7"/>
      <c r="J802" s="7"/>
      <c r="K802" s="7">
        <v>5885</v>
      </c>
      <c r="L802" s="7"/>
      <c r="M802" s="7"/>
    </row>
    <row r="803" spans="1:13">
      <c r="A803" s="6" t="s">
        <v>181</v>
      </c>
      <c r="B803" s="6" t="s">
        <v>593</v>
      </c>
      <c r="C803" s="6" t="s">
        <v>611</v>
      </c>
      <c r="D803" s="5" t="s">
        <v>181</v>
      </c>
      <c r="E803" s="7">
        <v>35.76</v>
      </c>
      <c r="F803" s="7"/>
      <c r="G803" s="7">
        <v>46702.39</v>
      </c>
      <c r="H803" s="7"/>
      <c r="I803" s="7"/>
      <c r="J803" s="7"/>
      <c r="K803" s="7">
        <v>16701</v>
      </c>
      <c r="L803" s="7"/>
      <c r="M803" s="7"/>
    </row>
    <row r="804" spans="1:13">
      <c r="A804" s="6" t="s">
        <v>181</v>
      </c>
      <c r="B804" s="6" t="s">
        <v>612</v>
      </c>
      <c r="C804" s="6" t="s">
        <v>613</v>
      </c>
      <c r="D804" s="5" t="s">
        <v>181</v>
      </c>
      <c r="E804" s="7">
        <v>1.06</v>
      </c>
      <c r="F804" s="7"/>
      <c r="G804" s="7">
        <v>98378.68</v>
      </c>
      <c r="H804" s="7"/>
      <c r="I804" s="7"/>
      <c r="J804" s="7"/>
      <c r="K804" s="7">
        <v>1043</v>
      </c>
      <c r="L804" s="7"/>
      <c r="M804" s="7"/>
    </row>
    <row r="805" spans="1:13">
      <c r="A805" s="6" t="s">
        <v>181</v>
      </c>
      <c r="B805" s="6" t="s">
        <v>614</v>
      </c>
      <c r="C805" s="6" t="s">
        <v>615</v>
      </c>
      <c r="D805" s="5" t="s">
        <v>181</v>
      </c>
      <c r="E805" s="7">
        <v>5</v>
      </c>
      <c r="F805" s="7"/>
      <c r="G805" s="7">
        <v>296057.34</v>
      </c>
      <c r="H805" s="7"/>
      <c r="I805" s="7"/>
      <c r="J805" s="7"/>
      <c r="K805" s="7">
        <v>14803</v>
      </c>
      <c r="L805" s="7"/>
      <c r="M805" s="7"/>
    </row>
    <row r="806" spans="1:13">
      <c r="A806" s="6" t="s">
        <v>181</v>
      </c>
      <c r="B806" s="6" t="s">
        <v>616</v>
      </c>
      <c r="C806" s="6" t="s">
        <v>617</v>
      </c>
      <c r="D806" s="5" t="s">
        <v>181</v>
      </c>
      <c r="E806" s="7">
        <v>100</v>
      </c>
      <c r="F806" s="7"/>
      <c r="G806" s="7">
        <v>7614.46</v>
      </c>
      <c r="H806" s="7"/>
      <c r="I806" s="7"/>
      <c r="J806" s="7"/>
      <c r="K806" s="7">
        <v>7614</v>
      </c>
      <c r="L806" s="7"/>
      <c r="M806" s="7"/>
    </row>
    <row r="807" spans="1:13">
      <c r="A807" s="6" t="s">
        <v>181</v>
      </c>
      <c r="B807" s="6" t="s">
        <v>577</v>
      </c>
      <c r="C807" s="6" t="s">
        <v>618</v>
      </c>
      <c r="D807" s="5" t="s">
        <v>181</v>
      </c>
      <c r="E807" s="7">
        <v>100</v>
      </c>
      <c r="F807" s="7"/>
      <c r="G807" s="7">
        <v>4973.8</v>
      </c>
      <c r="H807" s="7"/>
      <c r="I807" s="7"/>
      <c r="J807" s="7"/>
      <c r="K807" s="7">
        <v>4974</v>
      </c>
      <c r="L807" s="7"/>
      <c r="M807" s="7"/>
    </row>
    <row r="808" spans="1:13">
      <c r="A808" s="6" t="s">
        <v>181</v>
      </c>
      <c r="B808" s="6" t="s">
        <v>593</v>
      </c>
      <c r="C808" s="6" t="s">
        <v>619</v>
      </c>
      <c r="D808" s="5" t="s">
        <v>181</v>
      </c>
      <c r="E808" s="7">
        <v>100</v>
      </c>
      <c r="F808" s="7"/>
      <c r="G808" s="7">
        <v>272.95</v>
      </c>
      <c r="H808" s="7"/>
      <c r="I808" s="7"/>
      <c r="J808" s="7"/>
      <c r="K808" s="7">
        <v>273</v>
      </c>
      <c r="L808" s="7"/>
      <c r="M808" s="7"/>
    </row>
    <row r="809" spans="1:13">
      <c r="A809" s="6" t="s">
        <v>181</v>
      </c>
      <c r="B809" s="6" t="s">
        <v>612</v>
      </c>
      <c r="C809" s="6" t="s">
        <v>620</v>
      </c>
      <c r="D809" s="5" t="s">
        <v>181</v>
      </c>
      <c r="E809" s="7">
        <v>100</v>
      </c>
      <c r="F809" s="7"/>
      <c r="G809" s="7">
        <v>2367.71</v>
      </c>
      <c r="H809" s="7"/>
      <c r="I809" s="7"/>
      <c r="J809" s="7"/>
      <c r="K809" s="7">
        <v>2368</v>
      </c>
      <c r="L809" s="7"/>
      <c r="M809" s="7"/>
    </row>
    <row r="810" spans="1:13">
      <c r="A810" s="6" t="s">
        <v>181</v>
      </c>
      <c r="B810" s="6" t="s">
        <v>627</v>
      </c>
      <c r="C810" s="6" t="s">
        <v>216</v>
      </c>
      <c r="D810" s="5" t="s">
        <v>181</v>
      </c>
      <c r="E810" s="7">
        <v>9</v>
      </c>
      <c r="F810" s="7"/>
      <c r="G810" s="7">
        <v>318474.67</v>
      </c>
      <c r="H810" s="7"/>
      <c r="I810" s="7"/>
      <c r="J810" s="7"/>
      <c r="K810" s="7">
        <v>28663</v>
      </c>
      <c r="L810" s="7"/>
      <c r="M810" s="7"/>
    </row>
    <row r="811" spans="1:13">
      <c r="A811" s="6" t="s">
        <v>181</v>
      </c>
      <c r="B811" s="6" t="s">
        <v>628</v>
      </c>
      <c r="C811" s="6" t="s">
        <v>15</v>
      </c>
      <c r="D811" s="5" t="s">
        <v>181</v>
      </c>
      <c r="E811" s="7">
        <v>100</v>
      </c>
      <c r="F811" s="7"/>
      <c r="G811" s="7">
        <v>1230753.89</v>
      </c>
      <c r="H811" s="7"/>
      <c r="I811" s="7"/>
      <c r="J811" s="7"/>
      <c r="K811" s="7">
        <v>1230754</v>
      </c>
      <c r="L811" s="7"/>
      <c r="M811" s="7"/>
    </row>
    <row r="812" spans="1:13">
      <c r="A812" s="6" t="s">
        <v>181</v>
      </c>
      <c r="B812" s="6" t="s">
        <v>577</v>
      </c>
      <c r="C812" s="6" t="s">
        <v>629</v>
      </c>
      <c r="D812" s="5" t="s">
        <v>181</v>
      </c>
      <c r="E812" s="7">
        <v>100</v>
      </c>
      <c r="F812" s="7"/>
      <c r="G812" s="7">
        <v>1230753.89</v>
      </c>
      <c r="H812" s="7"/>
      <c r="I812" s="7"/>
      <c r="J812" s="7"/>
      <c r="K812" s="7">
        <v>1230754</v>
      </c>
      <c r="L812" s="7"/>
      <c r="M812" s="7"/>
    </row>
    <row r="813" spans="1:13">
      <c r="A813" s="6" t="s">
        <v>181</v>
      </c>
      <c r="B813" s="6" t="s">
        <v>662</v>
      </c>
      <c r="C813" s="6" t="s">
        <v>640</v>
      </c>
      <c r="D813" s="5" t="s">
        <v>181</v>
      </c>
      <c r="E813" s="7">
        <v>100</v>
      </c>
      <c r="F813" s="7"/>
      <c r="G813" s="7">
        <v>203985.49</v>
      </c>
      <c r="H813" s="7"/>
      <c r="I813" s="7"/>
      <c r="J813" s="7"/>
      <c r="K813" s="7">
        <v>203985</v>
      </c>
      <c r="L813" s="7"/>
      <c r="M813" s="7"/>
    </row>
    <row r="814" spans="1:13">
      <c r="A814" s="6" t="s">
        <v>181</v>
      </c>
      <c r="B814" s="6" t="s">
        <v>704</v>
      </c>
      <c r="C814" s="6" t="s">
        <v>705</v>
      </c>
      <c r="D814" s="5" t="s">
        <v>181</v>
      </c>
      <c r="E814" s="7">
        <v>100</v>
      </c>
      <c r="F814" s="7"/>
      <c r="G814" s="7">
        <v>143151.9</v>
      </c>
      <c r="H814" s="7"/>
      <c r="I814" s="7"/>
      <c r="J814" s="7"/>
      <c r="K814" s="7">
        <v>143152</v>
      </c>
      <c r="L814" s="7"/>
      <c r="M814" s="7"/>
    </row>
    <row r="815" spans="1:13">
      <c r="A815" s="6" t="s">
        <v>181</v>
      </c>
      <c r="B815" s="6" t="s">
        <v>631</v>
      </c>
      <c r="C815" s="6" t="s">
        <v>100</v>
      </c>
      <c r="D815" s="5" t="s">
        <v>181</v>
      </c>
      <c r="E815" s="7">
        <v>100</v>
      </c>
      <c r="F815" s="7"/>
      <c r="G815" s="7">
        <v>1577891.28</v>
      </c>
      <c r="H815" s="7"/>
      <c r="I815" s="7"/>
      <c r="J815" s="7"/>
      <c r="K815" s="7">
        <v>1577891</v>
      </c>
      <c r="L815" s="7"/>
      <c r="M815" s="7"/>
    </row>
    <row r="816" spans="1:13">
      <c r="A816" s="6" t="s">
        <v>181</v>
      </c>
      <c r="B816" s="6" t="s">
        <v>663</v>
      </c>
      <c r="C816" s="6" t="s">
        <v>173</v>
      </c>
      <c r="D816" s="5" t="s">
        <v>181</v>
      </c>
      <c r="E816" s="7">
        <v>100</v>
      </c>
      <c r="F816" s="7"/>
      <c r="G816" s="7">
        <v>347137.39</v>
      </c>
      <c r="H816" s="7"/>
      <c r="I816" s="7"/>
      <c r="J816" s="7"/>
      <c r="K816" s="7">
        <v>347137</v>
      </c>
      <c r="L816" s="7"/>
      <c r="M816" s="7"/>
    </row>
    <row r="817" spans="1:13">
      <c r="A817" s="6" t="s">
        <v>181</v>
      </c>
      <c r="B817" s="6" t="s">
        <v>181</v>
      </c>
      <c r="C817" s="6" t="s">
        <v>181</v>
      </c>
      <c r="D817" s="5" t="s">
        <v>181</v>
      </c>
      <c r="E817" s="7"/>
      <c r="F817" s="7"/>
      <c r="G817" s="7"/>
      <c r="H817" s="7"/>
      <c r="I817" s="7"/>
      <c r="J817" s="7"/>
      <c r="K817" s="7"/>
      <c r="L817" s="7"/>
      <c r="M817" s="7"/>
    </row>
    <row r="818" spans="1:13">
      <c r="A818" s="6" t="s">
        <v>915</v>
      </c>
      <c r="B818" s="6" t="s">
        <v>181</v>
      </c>
      <c r="C818" s="6" t="s">
        <v>916</v>
      </c>
      <c r="D818" s="5" t="s">
        <v>181</v>
      </c>
      <c r="E818" s="7"/>
      <c r="F818" s="7"/>
      <c r="G818" s="7"/>
      <c r="H818" s="7"/>
      <c r="I818" s="7"/>
      <c r="J818" s="7"/>
      <c r="K818" s="7">
        <v>31483</v>
      </c>
      <c r="L818" s="7">
        <v>8374</v>
      </c>
      <c r="M818" s="7">
        <v>5744</v>
      </c>
    </row>
    <row r="819" spans="1:13">
      <c r="A819" s="6" t="s">
        <v>181</v>
      </c>
      <c r="B819" s="6" t="s">
        <v>181</v>
      </c>
      <c r="C819" s="6" t="s">
        <v>917</v>
      </c>
      <c r="D819" s="5" t="s">
        <v>181</v>
      </c>
      <c r="E819" s="7"/>
      <c r="F819" s="7"/>
      <c r="G819" s="7"/>
      <c r="H819" s="7"/>
      <c r="I819" s="7"/>
      <c r="J819" s="7"/>
      <c r="K819" s="7"/>
      <c r="L819" s="7"/>
      <c r="M819" s="7"/>
    </row>
    <row r="820" ht="27" spans="1:13">
      <c r="A820" s="6" t="s">
        <v>181</v>
      </c>
      <c r="B820" s="6" t="s">
        <v>918</v>
      </c>
      <c r="C820" s="6" t="s">
        <v>919</v>
      </c>
      <c r="D820" s="5" t="s">
        <v>920</v>
      </c>
      <c r="E820" s="7">
        <v>1</v>
      </c>
      <c r="F820" s="7"/>
      <c r="G820" s="7">
        <v>7157.63</v>
      </c>
      <c r="H820" s="7">
        <v>3448.08</v>
      </c>
      <c r="I820" s="7">
        <v>2365.02</v>
      </c>
      <c r="J820" s="7"/>
      <c r="K820" s="7">
        <v>7158</v>
      </c>
      <c r="L820" s="7">
        <v>3448</v>
      </c>
      <c r="M820" s="7">
        <v>2365</v>
      </c>
    </row>
    <row r="821" spans="1:13">
      <c r="A821" s="6" t="s">
        <v>181</v>
      </c>
      <c r="B821" s="6" t="s">
        <v>921</v>
      </c>
      <c r="C821" s="6" t="s">
        <v>919</v>
      </c>
      <c r="D821" s="5" t="s">
        <v>920</v>
      </c>
      <c r="E821" s="7">
        <v>1</v>
      </c>
      <c r="F821" s="7"/>
      <c r="G821" s="7">
        <v>10225.18</v>
      </c>
      <c r="H821" s="7">
        <v>4925.83</v>
      </c>
      <c r="I821" s="7">
        <v>3378.6</v>
      </c>
      <c r="J821" s="7"/>
      <c r="K821" s="7">
        <v>10225</v>
      </c>
      <c r="L821" s="7">
        <v>4926</v>
      </c>
      <c r="M821" s="7">
        <v>3379</v>
      </c>
    </row>
    <row r="822" spans="1:13">
      <c r="A822" s="6" t="s">
        <v>181</v>
      </c>
      <c r="B822" s="6" t="s">
        <v>181</v>
      </c>
      <c r="C822" s="6" t="s">
        <v>562</v>
      </c>
      <c r="D822" s="5" t="s">
        <v>181</v>
      </c>
      <c r="E822" s="7"/>
      <c r="F822" s="7"/>
      <c r="G822" s="7"/>
      <c r="H822" s="7"/>
      <c r="I822" s="7"/>
      <c r="J822" s="7"/>
      <c r="K822" s="7">
        <v>17383</v>
      </c>
      <c r="L822" s="7">
        <v>8374</v>
      </c>
      <c r="M822" s="7">
        <v>5744</v>
      </c>
    </row>
    <row r="823" spans="1:13">
      <c r="A823" s="6" t="s">
        <v>181</v>
      </c>
      <c r="B823" s="6" t="s">
        <v>181</v>
      </c>
      <c r="C823" s="6" t="s">
        <v>181</v>
      </c>
      <c r="D823" s="5" t="s">
        <v>181</v>
      </c>
      <c r="E823" s="7"/>
      <c r="F823" s="7"/>
      <c r="G823" s="7"/>
      <c r="H823" s="7"/>
      <c r="I823" s="7"/>
      <c r="J823" s="7"/>
      <c r="K823" s="7"/>
      <c r="L823" s="7"/>
      <c r="M823" s="7"/>
    </row>
    <row r="824" spans="1:13">
      <c r="A824" s="6" t="s">
        <v>181</v>
      </c>
      <c r="B824" s="6" t="s">
        <v>354</v>
      </c>
      <c r="C824" s="6" t="s">
        <v>210</v>
      </c>
      <c r="D824" s="5" t="s">
        <v>181</v>
      </c>
      <c r="E824" s="7">
        <v>100</v>
      </c>
      <c r="F824" s="7"/>
      <c r="G824" s="7">
        <v>19920.16</v>
      </c>
      <c r="H824" s="7"/>
      <c r="I824" s="7"/>
      <c r="J824" s="7"/>
      <c r="K824" s="7">
        <v>19920</v>
      </c>
      <c r="L824" s="7"/>
      <c r="M824" s="7"/>
    </row>
    <row r="825" spans="1:13">
      <c r="A825" s="6" t="s">
        <v>181</v>
      </c>
      <c r="B825" s="6" t="s">
        <v>577</v>
      </c>
      <c r="C825" s="6" t="s">
        <v>578</v>
      </c>
      <c r="D825" s="5" t="s">
        <v>181</v>
      </c>
      <c r="E825" s="7">
        <v>100</v>
      </c>
      <c r="F825" s="7"/>
      <c r="G825" s="7">
        <v>17382.81</v>
      </c>
      <c r="H825" s="7"/>
      <c r="I825" s="7"/>
      <c r="J825" s="7"/>
      <c r="K825" s="7">
        <v>17383</v>
      </c>
      <c r="L825" s="7"/>
      <c r="M825" s="7"/>
    </row>
    <row r="826" spans="1:13">
      <c r="A826" s="6" t="s">
        <v>181</v>
      </c>
      <c r="B826" s="6" t="s">
        <v>579</v>
      </c>
      <c r="C826" s="6" t="s">
        <v>580</v>
      </c>
      <c r="D826" s="5" t="s">
        <v>181</v>
      </c>
      <c r="E826" s="7">
        <v>100</v>
      </c>
      <c r="F826" s="7"/>
      <c r="G826" s="7">
        <v>17382.81</v>
      </c>
      <c r="H826" s="7"/>
      <c r="I826" s="7"/>
      <c r="J826" s="7"/>
      <c r="K826" s="7">
        <v>17383</v>
      </c>
      <c r="L826" s="7"/>
      <c r="M826" s="7"/>
    </row>
    <row r="827" spans="1:13">
      <c r="A827" s="6" t="s">
        <v>181</v>
      </c>
      <c r="B827" s="6" t="s">
        <v>581</v>
      </c>
      <c r="C827" s="6" t="s">
        <v>582</v>
      </c>
      <c r="D827" s="5" t="s">
        <v>181</v>
      </c>
      <c r="E827" s="7">
        <v>100</v>
      </c>
      <c r="F827" s="7"/>
      <c r="G827" s="7">
        <v>8373.91</v>
      </c>
      <c r="H827" s="7"/>
      <c r="I827" s="7"/>
      <c r="J827" s="7"/>
      <c r="K827" s="7">
        <v>8374</v>
      </c>
      <c r="L827" s="7"/>
      <c r="M827" s="7"/>
    </row>
    <row r="828" spans="1:13">
      <c r="A828" s="6" t="s">
        <v>181</v>
      </c>
      <c r="B828" s="6" t="s">
        <v>583</v>
      </c>
      <c r="C828" s="6" t="s">
        <v>584</v>
      </c>
      <c r="D828" s="5" t="s">
        <v>181</v>
      </c>
      <c r="E828" s="7">
        <v>100</v>
      </c>
      <c r="F828" s="7"/>
      <c r="G828" s="7">
        <v>3265.28</v>
      </c>
      <c r="H828" s="7"/>
      <c r="I828" s="7"/>
      <c r="J828" s="7"/>
      <c r="K828" s="7">
        <v>3265</v>
      </c>
      <c r="L828" s="7"/>
      <c r="M828" s="7"/>
    </row>
    <row r="829" spans="1:13">
      <c r="A829" s="6" t="s">
        <v>181</v>
      </c>
      <c r="B829" s="6" t="s">
        <v>585</v>
      </c>
      <c r="C829" s="6" t="s">
        <v>586</v>
      </c>
      <c r="D829" s="5" t="s">
        <v>181</v>
      </c>
      <c r="E829" s="7">
        <v>100</v>
      </c>
      <c r="F829" s="7"/>
      <c r="G829" s="7">
        <v>5743.62</v>
      </c>
      <c r="H829" s="7"/>
      <c r="I829" s="7"/>
      <c r="J829" s="7"/>
      <c r="K829" s="7">
        <v>5744</v>
      </c>
      <c r="L829" s="7"/>
      <c r="M829" s="7"/>
    </row>
    <row r="830" spans="1:13">
      <c r="A830" s="6" t="s">
        <v>181</v>
      </c>
      <c r="B830" s="6" t="s">
        <v>593</v>
      </c>
      <c r="C830" s="6" t="s">
        <v>258</v>
      </c>
      <c r="D830" s="5" t="s">
        <v>181</v>
      </c>
      <c r="E830" s="7">
        <v>100</v>
      </c>
      <c r="F830" s="7"/>
      <c r="G830" s="7">
        <v>2537.35</v>
      </c>
      <c r="H830" s="7"/>
      <c r="I830" s="7"/>
      <c r="J830" s="7"/>
      <c r="K830" s="7">
        <v>2537</v>
      </c>
      <c r="L830" s="7"/>
      <c r="M830" s="7"/>
    </row>
    <row r="831" spans="1:13">
      <c r="A831" s="6" t="s">
        <v>181</v>
      </c>
      <c r="B831" s="6" t="s">
        <v>594</v>
      </c>
      <c r="C831" s="6" t="s">
        <v>595</v>
      </c>
      <c r="D831" s="5" t="s">
        <v>181</v>
      </c>
      <c r="E831" s="7">
        <v>3.57</v>
      </c>
      <c r="F831" s="7"/>
      <c r="G831" s="7">
        <v>8373.91</v>
      </c>
      <c r="H831" s="7"/>
      <c r="I831" s="7"/>
      <c r="J831" s="7"/>
      <c r="K831" s="7">
        <v>299</v>
      </c>
      <c r="L831" s="7"/>
      <c r="M831" s="7"/>
    </row>
    <row r="832" spans="1:13">
      <c r="A832" s="6" t="s">
        <v>181</v>
      </c>
      <c r="B832" s="6" t="s">
        <v>598</v>
      </c>
      <c r="C832" s="6" t="s">
        <v>599</v>
      </c>
      <c r="D832" s="5" t="s">
        <v>181</v>
      </c>
      <c r="E832" s="7">
        <v>3.82</v>
      </c>
      <c r="F832" s="7"/>
      <c r="G832" s="7">
        <v>8373.91</v>
      </c>
      <c r="H832" s="7"/>
      <c r="I832" s="7"/>
      <c r="J832" s="7"/>
      <c r="K832" s="7">
        <v>320</v>
      </c>
      <c r="L832" s="7"/>
      <c r="M832" s="7"/>
    </row>
    <row r="833" spans="1:13">
      <c r="A833" s="6" t="s">
        <v>181</v>
      </c>
      <c r="B833" s="6" t="s">
        <v>602</v>
      </c>
      <c r="C833" s="6" t="s">
        <v>76</v>
      </c>
      <c r="D833" s="5" t="s">
        <v>181</v>
      </c>
      <c r="E833" s="7">
        <v>6.35</v>
      </c>
      <c r="F833" s="7"/>
      <c r="G833" s="7">
        <v>17382.81</v>
      </c>
      <c r="H833" s="7"/>
      <c r="I833" s="7"/>
      <c r="J833" s="7"/>
      <c r="K833" s="7">
        <v>1104</v>
      </c>
      <c r="L833" s="7"/>
      <c r="M833" s="7"/>
    </row>
    <row r="834" spans="1:13">
      <c r="A834" s="6" t="s">
        <v>181</v>
      </c>
      <c r="B834" s="6" t="s">
        <v>603</v>
      </c>
      <c r="C834" s="6" t="s">
        <v>604</v>
      </c>
      <c r="D834" s="5" t="s">
        <v>181</v>
      </c>
      <c r="E834" s="7">
        <v>2.36</v>
      </c>
      <c r="F834" s="7"/>
      <c r="G834" s="7">
        <v>8373.91</v>
      </c>
      <c r="H834" s="7"/>
      <c r="I834" s="7"/>
      <c r="J834" s="7"/>
      <c r="K834" s="7">
        <v>198</v>
      </c>
      <c r="L834" s="7"/>
      <c r="M834" s="7"/>
    </row>
    <row r="835" spans="1:13">
      <c r="A835" s="6" t="s">
        <v>181</v>
      </c>
      <c r="B835" s="6" t="s">
        <v>605</v>
      </c>
      <c r="C835" s="6" t="s">
        <v>213</v>
      </c>
      <c r="D835" s="5" t="s">
        <v>181</v>
      </c>
      <c r="E835" s="7">
        <v>3.55</v>
      </c>
      <c r="F835" s="7"/>
      <c r="G835" s="7">
        <v>17382.81</v>
      </c>
      <c r="H835" s="7"/>
      <c r="I835" s="7"/>
      <c r="J835" s="7"/>
      <c r="K835" s="7">
        <v>617</v>
      </c>
      <c r="L835" s="7"/>
      <c r="M835" s="7"/>
    </row>
    <row r="836" spans="1:13">
      <c r="A836" s="6" t="s">
        <v>181</v>
      </c>
      <c r="B836" s="6" t="s">
        <v>606</v>
      </c>
      <c r="C836" s="6" t="s">
        <v>607</v>
      </c>
      <c r="D836" s="5" t="s">
        <v>181</v>
      </c>
      <c r="E836" s="7">
        <v>100</v>
      </c>
      <c r="F836" s="7"/>
      <c r="G836" s="7">
        <v>6300.14</v>
      </c>
      <c r="H836" s="7"/>
      <c r="I836" s="7"/>
      <c r="J836" s="7"/>
      <c r="K836" s="7">
        <v>6300</v>
      </c>
      <c r="L836" s="7"/>
      <c r="M836" s="7"/>
    </row>
    <row r="837" spans="1:13">
      <c r="A837" s="6" t="s">
        <v>181</v>
      </c>
      <c r="B837" s="6" t="s">
        <v>577</v>
      </c>
      <c r="C837" s="6" t="s">
        <v>608</v>
      </c>
      <c r="D837" s="5" t="s">
        <v>181</v>
      </c>
      <c r="E837" s="7">
        <v>100</v>
      </c>
      <c r="F837" s="7"/>
      <c r="G837" s="7">
        <v>3121.38</v>
      </c>
      <c r="H837" s="7"/>
      <c r="I837" s="7"/>
      <c r="J837" s="7"/>
      <c r="K837" s="7">
        <v>3121</v>
      </c>
      <c r="L837" s="7"/>
      <c r="M837" s="7"/>
    </row>
    <row r="838" spans="1:13">
      <c r="A838" s="6" t="s">
        <v>181</v>
      </c>
      <c r="B838" s="6" t="s">
        <v>579</v>
      </c>
      <c r="C838" s="6" t="s">
        <v>609</v>
      </c>
      <c r="D838" s="5" t="s">
        <v>181</v>
      </c>
      <c r="E838" s="7">
        <v>23.5</v>
      </c>
      <c r="F838" s="7"/>
      <c r="G838" s="7">
        <v>8792.61</v>
      </c>
      <c r="H838" s="7"/>
      <c r="I838" s="7"/>
      <c r="J838" s="7"/>
      <c r="K838" s="7">
        <v>2066</v>
      </c>
      <c r="L838" s="7"/>
      <c r="M838" s="7"/>
    </row>
    <row r="839" spans="1:13">
      <c r="A839" s="6" t="s">
        <v>181</v>
      </c>
      <c r="B839" s="6" t="s">
        <v>587</v>
      </c>
      <c r="C839" s="6" t="s">
        <v>610</v>
      </c>
      <c r="D839" s="5" t="s">
        <v>181</v>
      </c>
      <c r="E839" s="7">
        <v>12</v>
      </c>
      <c r="F839" s="7"/>
      <c r="G839" s="7">
        <v>8792.61</v>
      </c>
      <c r="H839" s="7"/>
      <c r="I839" s="7"/>
      <c r="J839" s="7"/>
      <c r="K839" s="7">
        <v>1055</v>
      </c>
      <c r="L839" s="7"/>
      <c r="M839" s="7"/>
    </row>
    <row r="840" spans="1:13">
      <c r="A840" s="6" t="s">
        <v>181</v>
      </c>
      <c r="B840" s="6" t="s">
        <v>593</v>
      </c>
      <c r="C840" s="6" t="s">
        <v>611</v>
      </c>
      <c r="D840" s="5" t="s">
        <v>181</v>
      </c>
      <c r="E840" s="7">
        <v>35.76</v>
      </c>
      <c r="F840" s="7"/>
      <c r="G840" s="7">
        <v>8373.91</v>
      </c>
      <c r="H840" s="7"/>
      <c r="I840" s="7"/>
      <c r="J840" s="7"/>
      <c r="K840" s="7">
        <v>2995</v>
      </c>
      <c r="L840" s="7"/>
      <c r="M840" s="7"/>
    </row>
    <row r="841" spans="1:13">
      <c r="A841" s="6" t="s">
        <v>181</v>
      </c>
      <c r="B841" s="6" t="s">
        <v>612</v>
      </c>
      <c r="C841" s="6" t="s">
        <v>613</v>
      </c>
      <c r="D841" s="5" t="s">
        <v>181</v>
      </c>
      <c r="E841" s="7">
        <v>1.06</v>
      </c>
      <c r="F841" s="7"/>
      <c r="G841" s="7">
        <v>17382.81</v>
      </c>
      <c r="H841" s="7"/>
      <c r="I841" s="7"/>
      <c r="J841" s="7"/>
      <c r="K841" s="7">
        <v>184</v>
      </c>
      <c r="L841" s="7"/>
      <c r="M841" s="7"/>
    </row>
    <row r="842" spans="1:13">
      <c r="A842" s="6" t="s">
        <v>181</v>
      </c>
      <c r="B842" s="6" t="s">
        <v>614</v>
      </c>
      <c r="C842" s="6" t="s">
        <v>615</v>
      </c>
      <c r="D842" s="5" t="s">
        <v>181</v>
      </c>
      <c r="E842" s="7">
        <v>5</v>
      </c>
      <c r="F842" s="7"/>
      <c r="G842" s="7">
        <v>26220.3</v>
      </c>
      <c r="H842" s="7"/>
      <c r="I842" s="7"/>
      <c r="J842" s="7"/>
      <c r="K842" s="7">
        <v>1311</v>
      </c>
      <c r="L842" s="7"/>
      <c r="M842" s="7"/>
    </row>
    <row r="843" spans="1:13">
      <c r="A843" s="6" t="s">
        <v>181</v>
      </c>
      <c r="B843" s="6" t="s">
        <v>616</v>
      </c>
      <c r="C843" s="6" t="s">
        <v>617</v>
      </c>
      <c r="D843" s="5" t="s">
        <v>181</v>
      </c>
      <c r="E843" s="7">
        <v>100</v>
      </c>
      <c r="F843" s="7"/>
      <c r="G843" s="7">
        <v>1352.18</v>
      </c>
      <c r="H843" s="7"/>
      <c r="I843" s="7"/>
      <c r="J843" s="7"/>
      <c r="K843" s="7">
        <v>1352</v>
      </c>
      <c r="L843" s="7"/>
      <c r="M843" s="7"/>
    </row>
    <row r="844" spans="1:13">
      <c r="A844" s="6" t="s">
        <v>181</v>
      </c>
      <c r="B844" s="6" t="s">
        <v>577</v>
      </c>
      <c r="C844" s="6" t="s">
        <v>618</v>
      </c>
      <c r="D844" s="5" t="s">
        <v>181</v>
      </c>
      <c r="E844" s="7">
        <v>100</v>
      </c>
      <c r="F844" s="7"/>
      <c r="G844" s="7">
        <v>891.82</v>
      </c>
      <c r="H844" s="7"/>
      <c r="I844" s="7"/>
      <c r="J844" s="7"/>
      <c r="K844" s="7">
        <v>892</v>
      </c>
      <c r="L844" s="7"/>
      <c r="M844" s="7"/>
    </row>
    <row r="845" spans="1:13">
      <c r="A845" s="6" t="s">
        <v>181</v>
      </c>
      <c r="B845" s="6" t="s">
        <v>593</v>
      </c>
      <c r="C845" s="6" t="s">
        <v>619</v>
      </c>
      <c r="D845" s="5" t="s">
        <v>181</v>
      </c>
      <c r="E845" s="7">
        <v>100</v>
      </c>
      <c r="F845" s="7"/>
      <c r="G845" s="7">
        <v>166.86</v>
      </c>
      <c r="H845" s="7"/>
      <c r="I845" s="7"/>
      <c r="J845" s="7"/>
      <c r="K845" s="7">
        <v>167</v>
      </c>
      <c r="L845" s="7"/>
      <c r="M845" s="7"/>
    </row>
    <row r="846" spans="1:13">
      <c r="A846" s="6" t="s">
        <v>181</v>
      </c>
      <c r="B846" s="6" t="s">
        <v>612</v>
      </c>
      <c r="C846" s="6" t="s">
        <v>620</v>
      </c>
      <c r="D846" s="5" t="s">
        <v>181</v>
      </c>
      <c r="E846" s="7">
        <v>100</v>
      </c>
      <c r="F846" s="7"/>
      <c r="G846" s="7">
        <v>293.5</v>
      </c>
      <c r="H846" s="7"/>
      <c r="I846" s="7"/>
      <c r="J846" s="7"/>
      <c r="K846" s="7">
        <v>293</v>
      </c>
      <c r="L846" s="7"/>
      <c r="M846" s="7"/>
    </row>
    <row r="847" spans="1:13">
      <c r="A847" s="6" t="s">
        <v>181</v>
      </c>
      <c r="B847" s="6" t="s">
        <v>627</v>
      </c>
      <c r="C847" s="6" t="s">
        <v>216</v>
      </c>
      <c r="D847" s="5" t="s">
        <v>181</v>
      </c>
      <c r="E847" s="7">
        <v>9</v>
      </c>
      <c r="F847" s="7"/>
      <c r="G847" s="7">
        <v>28883.5</v>
      </c>
      <c r="H847" s="7"/>
      <c r="I847" s="7"/>
      <c r="J847" s="7"/>
      <c r="K847" s="7">
        <v>2600</v>
      </c>
      <c r="L847" s="7"/>
      <c r="M847" s="7"/>
    </row>
    <row r="848" spans="1:13">
      <c r="A848" s="6" t="s">
        <v>181</v>
      </c>
      <c r="B848" s="6" t="s">
        <v>662</v>
      </c>
      <c r="C848" s="6" t="s">
        <v>640</v>
      </c>
      <c r="D848" s="5" t="s">
        <v>181</v>
      </c>
      <c r="E848" s="7">
        <v>100</v>
      </c>
      <c r="F848" s="7"/>
      <c r="G848" s="7">
        <v>31483.01</v>
      </c>
      <c r="H848" s="7"/>
      <c r="I848" s="7"/>
      <c r="J848" s="7"/>
      <c r="K848" s="7">
        <v>31483</v>
      </c>
      <c r="L848" s="7"/>
      <c r="M848" s="7"/>
    </row>
    <row r="849" spans="1:13">
      <c r="A849" s="6" t="s">
        <v>181</v>
      </c>
      <c r="B849" s="6" t="s">
        <v>631</v>
      </c>
      <c r="C849" s="6" t="s">
        <v>100</v>
      </c>
      <c r="D849" s="5" t="s">
        <v>181</v>
      </c>
      <c r="E849" s="7">
        <v>100</v>
      </c>
      <c r="F849" s="7"/>
      <c r="G849" s="7">
        <v>31483.01</v>
      </c>
      <c r="H849" s="7"/>
      <c r="I849" s="7"/>
      <c r="J849" s="7"/>
      <c r="K849" s="7">
        <v>31483</v>
      </c>
      <c r="L849" s="7"/>
      <c r="M849" s="7"/>
    </row>
    <row r="850" spans="1:13">
      <c r="A850" s="6" t="s">
        <v>181</v>
      </c>
      <c r="B850" s="6" t="s">
        <v>663</v>
      </c>
      <c r="C850" s="6" t="s">
        <v>173</v>
      </c>
      <c r="D850" s="5" t="s">
        <v>181</v>
      </c>
      <c r="E850" s="7">
        <v>100</v>
      </c>
      <c r="F850" s="7"/>
      <c r="G850" s="7">
        <v>31483.01</v>
      </c>
      <c r="H850" s="7"/>
      <c r="I850" s="7"/>
      <c r="J850" s="7"/>
      <c r="K850" s="7">
        <v>31483</v>
      </c>
      <c r="L850" s="7"/>
      <c r="M850" s="7"/>
    </row>
  </sheetData>
  <mergeCells count="12">
    <mergeCell ref="A1:M1"/>
    <mergeCell ref="F3:I3"/>
    <mergeCell ref="J3:M3"/>
    <mergeCell ref="G4:I4"/>
    <mergeCell ref="K4:M4"/>
    <mergeCell ref="A3:A5"/>
    <mergeCell ref="B3:B5"/>
    <mergeCell ref="C3:C5"/>
    <mergeCell ref="D3:D5"/>
    <mergeCell ref="E3:E5"/>
    <mergeCell ref="F4:F5"/>
    <mergeCell ref="J4:J5"/>
  </mergeCells>
  <pageMargins left="0.499305555555556" right="0.499305555555556" top="0.499305555555556" bottom="0.499305555555556" header="0.343055555555556" footer="0.343055555555556"/>
  <pageSetup paperSize="9" fitToHeight="0" orientation="landscape"/>
  <headerFooter>
    <oddHeader>&amp;L&amp;"宋体,常规"&amp;11&amp;C&amp;"宋体,常规"&amp;11&amp;R&amp;"宋体,常规"&amp;11</oddHeader>
    <oddFooter>&amp;L&amp;"宋体,常规"&amp;11 220kV沙赛线64#-80#改迁工程&amp;C&amp;"宋体,常规"&amp;11第  &amp;P  页&amp;R&amp;"宋体,常规"&amp;11九江电力勘察设计院有限公司</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pageSetUpPr fitToPage="1"/>
  </sheetPr>
  <dimension ref="A1:M34"/>
  <sheetViews>
    <sheetView workbookViewId="0">
      <selection activeCell="J15" sqref="J15"/>
    </sheetView>
  </sheetViews>
  <sheetFormatPr defaultColWidth="7.875" defaultRowHeight="15"/>
  <cols>
    <col min="1" max="1" width="7.25833333333333" style="1" customWidth="1"/>
    <col min="2" max="2" width="9" style="1" customWidth="1"/>
    <col min="3" max="3" width="21.5" style="1" customWidth="1"/>
    <col min="4" max="12" width="9" style="1" customWidth="1"/>
    <col min="13" max="13" width="9.5" style="1" customWidth="1"/>
    <col min="14" max="16384" width="7.875" style="1"/>
  </cols>
  <sheetData>
    <row r="1" ht="36" customHeight="1" spans="1:13">
      <c r="A1" s="2" t="s">
        <v>922</v>
      </c>
      <c r="B1" s="2"/>
      <c r="C1" s="2"/>
      <c r="D1" s="2"/>
      <c r="E1" s="2"/>
      <c r="F1" s="2"/>
      <c r="G1" s="2"/>
      <c r="H1" s="2"/>
      <c r="I1" s="2"/>
      <c r="J1" s="2"/>
      <c r="K1" s="2"/>
      <c r="L1" s="2"/>
      <c r="M1" s="2"/>
    </row>
    <row r="2" ht="12" customHeight="1" spans="1:13">
      <c r="A2" s="3" t="s">
        <v>635</v>
      </c>
      <c r="M2" s="4" t="s">
        <v>532</v>
      </c>
    </row>
    <row r="3" ht="18" customHeight="1" spans="1:13">
      <c r="A3" s="5" t="s">
        <v>8</v>
      </c>
      <c r="B3" s="5" t="s">
        <v>636</v>
      </c>
      <c r="C3" s="5" t="s">
        <v>637</v>
      </c>
      <c r="D3" s="5" t="s">
        <v>168</v>
      </c>
      <c r="E3" s="5" t="s">
        <v>169</v>
      </c>
      <c r="F3" s="5" t="s">
        <v>638</v>
      </c>
      <c r="G3" s="5"/>
      <c r="H3" s="5"/>
      <c r="I3" s="5"/>
      <c r="J3" s="5" t="s">
        <v>232</v>
      </c>
      <c r="K3" s="5"/>
      <c r="L3" s="5"/>
      <c r="M3" s="5"/>
    </row>
    <row r="4" ht="18" customHeight="1" spans="1:13">
      <c r="A4" s="5"/>
      <c r="B4" s="5"/>
      <c r="C4" s="5"/>
      <c r="D4" s="5"/>
      <c r="E4" s="5"/>
      <c r="F4" s="5" t="s">
        <v>923</v>
      </c>
      <c r="G4" s="5" t="s">
        <v>640</v>
      </c>
      <c r="H4" s="5"/>
      <c r="I4" s="5"/>
      <c r="J4" s="5" t="s">
        <v>923</v>
      </c>
      <c r="K4" s="5" t="s">
        <v>640</v>
      </c>
      <c r="L4" s="5"/>
      <c r="M4" s="5"/>
    </row>
    <row r="5" ht="30.6" customHeight="1" spans="1:13">
      <c r="A5" s="5"/>
      <c r="B5" s="5"/>
      <c r="C5" s="5"/>
      <c r="D5" s="5"/>
      <c r="E5" s="5"/>
      <c r="F5" s="5"/>
      <c r="G5" s="5" t="s">
        <v>173</v>
      </c>
      <c r="H5" s="5" t="s">
        <v>641</v>
      </c>
      <c r="I5" s="5" t="s">
        <v>642</v>
      </c>
      <c r="J5" s="5"/>
      <c r="K5" s="5" t="s">
        <v>173</v>
      </c>
      <c r="L5" s="5" t="s">
        <v>641</v>
      </c>
      <c r="M5" s="5" t="s">
        <v>642</v>
      </c>
    </row>
    <row r="6" ht="18" customHeight="1" spans="1:13">
      <c r="A6" s="6" t="s">
        <v>593</v>
      </c>
      <c r="B6" s="6" t="s">
        <v>181</v>
      </c>
      <c r="C6" s="6" t="s">
        <v>924</v>
      </c>
      <c r="D6" s="5" t="s">
        <v>181</v>
      </c>
      <c r="E6" s="7"/>
      <c r="F6" s="7"/>
      <c r="G6" s="7"/>
      <c r="H6" s="7"/>
      <c r="I6" s="7"/>
      <c r="J6" s="7"/>
      <c r="K6" s="7">
        <v>88969</v>
      </c>
      <c r="L6" s="7"/>
      <c r="M6" s="7"/>
    </row>
    <row r="7" ht="18" customHeight="1" spans="1:13">
      <c r="A7" s="6" t="s">
        <v>598</v>
      </c>
      <c r="B7" s="6" t="s">
        <v>181</v>
      </c>
      <c r="C7" s="6" t="s">
        <v>925</v>
      </c>
      <c r="D7" s="5" t="s">
        <v>181</v>
      </c>
      <c r="E7" s="7"/>
      <c r="F7" s="7"/>
      <c r="G7" s="7"/>
      <c r="H7" s="7"/>
      <c r="I7" s="7"/>
      <c r="J7" s="7"/>
      <c r="K7" s="7">
        <v>88969</v>
      </c>
      <c r="L7" s="7"/>
      <c r="M7" s="7"/>
    </row>
    <row r="8" ht="18" customHeight="1" spans="1:13">
      <c r="A8" s="6" t="s">
        <v>926</v>
      </c>
      <c r="B8" s="6" t="s">
        <v>181</v>
      </c>
      <c r="C8" s="6" t="s">
        <v>927</v>
      </c>
      <c r="D8" s="5" t="s">
        <v>660</v>
      </c>
      <c r="E8" s="7">
        <v>35</v>
      </c>
      <c r="F8" s="7"/>
      <c r="G8" s="7"/>
      <c r="H8" s="7"/>
      <c r="I8" s="7"/>
      <c r="J8" s="7"/>
      <c r="K8" s="7">
        <v>88969</v>
      </c>
      <c r="L8" s="7"/>
      <c r="M8" s="7"/>
    </row>
    <row r="9" ht="30.6" customHeight="1" spans="1:13">
      <c r="A9" s="6" t="s">
        <v>181</v>
      </c>
      <c r="B9" s="6" t="s">
        <v>928</v>
      </c>
      <c r="C9" s="6" t="s">
        <v>929</v>
      </c>
      <c r="D9" s="5" t="s">
        <v>360</v>
      </c>
      <c r="E9" s="7">
        <v>11</v>
      </c>
      <c r="F9" s="7"/>
      <c r="G9" s="7">
        <v>1280.3</v>
      </c>
      <c r="H9" s="7">
        <v>840.27</v>
      </c>
      <c r="I9" s="7">
        <v>382.02</v>
      </c>
      <c r="J9" s="7"/>
      <c r="K9" s="7">
        <v>14083</v>
      </c>
      <c r="L9" s="7">
        <v>9243</v>
      </c>
      <c r="M9" s="7">
        <v>4202</v>
      </c>
    </row>
    <row r="10" ht="44.1" customHeight="1" spans="1:13">
      <c r="A10" s="6" t="s">
        <v>181</v>
      </c>
      <c r="B10" s="6" t="s">
        <v>756</v>
      </c>
      <c r="C10" s="6" t="s">
        <v>757</v>
      </c>
      <c r="D10" s="5" t="s">
        <v>182</v>
      </c>
      <c r="E10" s="7">
        <v>38</v>
      </c>
      <c r="F10" s="7"/>
      <c r="G10" s="7">
        <v>571.02</v>
      </c>
      <c r="H10" s="7">
        <v>499.35</v>
      </c>
      <c r="I10" s="7">
        <v>63.73</v>
      </c>
      <c r="J10" s="7"/>
      <c r="K10" s="7">
        <v>21699</v>
      </c>
      <c r="L10" s="7">
        <v>18975</v>
      </c>
      <c r="M10" s="7">
        <v>2422</v>
      </c>
    </row>
    <row r="11" ht="30.6" customHeight="1" spans="1:13">
      <c r="A11" s="6" t="s">
        <v>181</v>
      </c>
      <c r="B11" s="6" t="s">
        <v>930</v>
      </c>
      <c r="C11" s="6" t="s">
        <v>931</v>
      </c>
      <c r="D11" s="5" t="s">
        <v>374</v>
      </c>
      <c r="E11" s="7">
        <v>3.872</v>
      </c>
      <c r="F11" s="7"/>
      <c r="G11" s="7">
        <v>13663.34</v>
      </c>
      <c r="H11" s="7">
        <v>5416.96</v>
      </c>
      <c r="I11" s="7">
        <v>7912.09</v>
      </c>
      <c r="J11" s="7"/>
      <c r="K11" s="7">
        <v>52904</v>
      </c>
      <c r="L11" s="7">
        <v>20974</v>
      </c>
      <c r="M11" s="7">
        <v>30636</v>
      </c>
    </row>
    <row r="12" ht="44.1" customHeight="1" spans="1:13">
      <c r="A12" s="6" t="s">
        <v>181</v>
      </c>
      <c r="B12" s="6" t="s">
        <v>932</v>
      </c>
      <c r="C12" s="6" t="s">
        <v>933</v>
      </c>
      <c r="D12" s="5" t="s">
        <v>462</v>
      </c>
      <c r="E12" s="7">
        <v>66</v>
      </c>
      <c r="F12" s="7"/>
      <c r="G12" s="7">
        <v>1882.77</v>
      </c>
      <c r="H12" s="7">
        <v>1523.73</v>
      </c>
      <c r="I12" s="7">
        <v>331.33</v>
      </c>
      <c r="J12" s="7"/>
      <c r="K12" s="7">
        <v>124263</v>
      </c>
      <c r="L12" s="7">
        <v>100566</v>
      </c>
      <c r="M12" s="7">
        <v>21868</v>
      </c>
    </row>
    <row r="13" ht="18" customHeight="1" spans="1:13">
      <c r="A13" s="6" t="s">
        <v>181</v>
      </c>
      <c r="B13" s="6" t="s">
        <v>734</v>
      </c>
      <c r="C13" s="6" t="s">
        <v>735</v>
      </c>
      <c r="D13" s="5" t="s">
        <v>647</v>
      </c>
      <c r="E13" s="7">
        <v>1.9</v>
      </c>
      <c r="F13" s="7"/>
      <c r="G13" s="7">
        <v>157.47</v>
      </c>
      <c r="H13" s="7">
        <v>146.52</v>
      </c>
      <c r="I13" s="7">
        <v>10.95</v>
      </c>
      <c r="J13" s="7"/>
      <c r="K13" s="7">
        <v>299</v>
      </c>
      <c r="L13" s="7">
        <v>278</v>
      </c>
      <c r="M13" s="7">
        <v>21</v>
      </c>
    </row>
    <row r="14" ht="30.6" customHeight="1" spans="1:13">
      <c r="A14" s="6" t="s">
        <v>181</v>
      </c>
      <c r="B14" s="6" t="s">
        <v>736</v>
      </c>
      <c r="C14" s="6" t="s">
        <v>737</v>
      </c>
      <c r="D14" s="5" t="s">
        <v>182</v>
      </c>
      <c r="E14" s="7">
        <v>38</v>
      </c>
      <c r="F14" s="7"/>
      <c r="G14" s="7">
        <v>49.91</v>
      </c>
      <c r="H14" s="7">
        <v>12.76</v>
      </c>
      <c r="I14" s="7">
        <v>36.56</v>
      </c>
      <c r="J14" s="7"/>
      <c r="K14" s="7">
        <v>1897</v>
      </c>
      <c r="L14" s="7">
        <v>485</v>
      </c>
      <c r="M14" s="7">
        <v>1389</v>
      </c>
    </row>
    <row r="15" ht="30.6" customHeight="1" spans="1:13">
      <c r="A15" s="6" t="s">
        <v>181</v>
      </c>
      <c r="B15" s="6" t="s">
        <v>738</v>
      </c>
      <c r="C15" s="6" t="s">
        <v>739</v>
      </c>
      <c r="D15" s="5" t="s">
        <v>647</v>
      </c>
      <c r="E15" s="7">
        <v>380</v>
      </c>
      <c r="F15" s="7"/>
      <c r="G15" s="7">
        <v>1.57</v>
      </c>
      <c r="H15" s="7">
        <v>0.55</v>
      </c>
      <c r="I15" s="7">
        <v>1.02</v>
      </c>
      <c r="J15" s="7"/>
      <c r="K15" s="7">
        <v>597</v>
      </c>
      <c r="L15" s="7">
        <v>209</v>
      </c>
      <c r="M15" s="7">
        <v>388</v>
      </c>
    </row>
    <row r="16" ht="30.6" customHeight="1" spans="1:13">
      <c r="A16" s="6" t="s">
        <v>181</v>
      </c>
      <c r="B16" s="6" t="s">
        <v>934</v>
      </c>
      <c r="C16" s="6" t="s">
        <v>935</v>
      </c>
      <c r="D16" s="5" t="s">
        <v>647</v>
      </c>
      <c r="E16" s="7">
        <v>1.314</v>
      </c>
      <c r="F16" s="7"/>
      <c r="G16" s="7">
        <v>221.6</v>
      </c>
      <c r="H16" s="7">
        <v>205.24</v>
      </c>
      <c r="I16" s="7">
        <v>16.36</v>
      </c>
      <c r="J16" s="7"/>
      <c r="K16" s="7">
        <v>291</v>
      </c>
      <c r="L16" s="7">
        <v>270</v>
      </c>
      <c r="M16" s="7">
        <v>21</v>
      </c>
    </row>
    <row r="17" ht="30.6" customHeight="1" spans="1:13">
      <c r="A17" s="6" t="s">
        <v>181</v>
      </c>
      <c r="B17" s="6" t="s">
        <v>936</v>
      </c>
      <c r="C17" s="6" t="s">
        <v>937</v>
      </c>
      <c r="D17" s="5" t="s">
        <v>647</v>
      </c>
      <c r="E17" s="7">
        <v>262.754</v>
      </c>
      <c r="F17" s="7"/>
      <c r="G17" s="7">
        <v>1.42</v>
      </c>
      <c r="H17" s="7">
        <v>0.37</v>
      </c>
      <c r="I17" s="7">
        <v>1.05</v>
      </c>
      <c r="J17" s="7"/>
      <c r="K17" s="7">
        <v>373</v>
      </c>
      <c r="L17" s="7">
        <v>97</v>
      </c>
      <c r="M17" s="7">
        <v>276</v>
      </c>
    </row>
    <row r="18" ht="30.6" customHeight="1" spans="1:13">
      <c r="A18" s="6" t="s">
        <v>181</v>
      </c>
      <c r="B18" s="6" t="s">
        <v>938</v>
      </c>
      <c r="C18" s="6" t="s">
        <v>939</v>
      </c>
      <c r="D18" s="5" t="s">
        <v>182</v>
      </c>
      <c r="E18" s="7">
        <v>26.275</v>
      </c>
      <c r="F18" s="7"/>
      <c r="G18" s="7">
        <v>61.82</v>
      </c>
      <c r="H18" s="7">
        <v>11.72</v>
      </c>
      <c r="I18" s="7">
        <v>49.94</v>
      </c>
      <c r="J18" s="7"/>
      <c r="K18" s="7">
        <v>1624</v>
      </c>
      <c r="L18" s="7">
        <v>308</v>
      </c>
      <c r="M18" s="7">
        <v>1312</v>
      </c>
    </row>
    <row r="19" ht="18" customHeight="1" spans="1:13">
      <c r="A19" s="6" t="s">
        <v>181</v>
      </c>
      <c r="B19" s="6" t="s">
        <v>181</v>
      </c>
      <c r="C19" s="6" t="s">
        <v>562</v>
      </c>
      <c r="D19" s="5" t="s">
        <v>181</v>
      </c>
      <c r="E19" s="7"/>
      <c r="F19" s="7"/>
      <c r="G19" s="7"/>
      <c r="H19" s="7"/>
      <c r="I19" s="7"/>
      <c r="J19" s="7"/>
      <c r="K19" s="7">
        <v>218030</v>
      </c>
      <c r="L19" s="7">
        <v>151406</v>
      </c>
      <c r="M19" s="7">
        <v>62535</v>
      </c>
    </row>
    <row r="20" ht="18" customHeight="1" spans="1:13">
      <c r="A20" s="6" t="s">
        <v>181</v>
      </c>
      <c r="B20" s="6" t="s">
        <v>181</v>
      </c>
      <c r="C20" s="6" t="s">
        <v>181</v>
      </c>
      <c r="D20" s="5" t="s">
        <v>181</v>
      </c>
      <c r="E20" s="7"/>
      <c r="F20" s="7"/>
      <c r="G20" s="7"/>
      <c r="H20" s="7"/>
      <c r="I20" s="7"/>
      <c r="J20" s="7"/>
      <c r="K20" s="7"/>
      <c r="L20" s="7"/>
      <c r="M20" s="7"/>
    </row>
    <row r="21" ht="18" customHeight="1" spans="1:13">
      <c r="A21" s="6" t="s">
        <v>181</v>
      </c>
      <c r="B21" s="6" t="s">
        <v>354</v>
      </c>
      <c r="C21" s="6" t="s">
        <v>210</v>
      </c>
      <c r="D21" s="5" t="s">
        <v>181</v>
      </c>
      <c r="E21" s="7">
        <v>100</v>
      </c>
      <c r="F21" s="7"/>
      <c r="G21" s="7">
        <v>254195.72</v>
      </c>
      <c r="H21" s="7"/>
      <c r="I21" s="7"/>
      <c r="J21" s="7"/>
      <c r="K21" s="7">
        <v>254196</v>
      </c>
      <c r="L21" s="7"/>
      <c r="M21" s="7"/>
    </row>
    <row r="22" ht="18" customHeight="1" spans="1:13">
      <c r="A22" s="6" t="s">
        <v>181</v>
      </c>
      <c r="B22" s="6" t="s">
        <v>577</v>
      </c>
      <c r="C22" s="6" t="s">
        <v>578</v>
      </c>
      <c r="D22" s="5" t="s">
        <v>181</v>
      </c>
      <c r="E22" s="7">
        <v>100</v>
      </c>
      <c r="F22" s="7"/>
      <c r="G22" s="7">
        <v>218030.32</v>
      </c>
      <c r="H22" s="7"/>
      <c r="I22" s="7"/>
      <c r="J22" s="7"/>
      <c r="K22" s="7">
        <v>218030</v>
      </c>
      <c r="L22" s="7"/>
      <c r="M22" s="7"/>
    </row>
    <row r="23" ht="18" customHeight="1" spans="1:13">
      <c r="A23" s="6" t="s">
        <v>181</v>
      </c>
      <c r="B23" s="6" t="s">
        <v>579</v>
      </c>
      <c r="C23" s="6" t="s">
        <v>580</v>
      </c>
      <c r="D23" s="5" t="s">
        <v>181</v>
      </c>
      <c r="E23" s="7">
        <v>100</v>
      </c>
      <c r="F23" s="7"/>
      <c r="G23" s="7">
        <v>218030.32</v>
      </c>
      <c r="H23" s="7"/>
      <c r="I23" s="7"/>
      <c r="J23" s="7"/>
      <c r="K23" s="7">
        <v>218030</v>
      </c>
      <c r="L23" s="7"/>
      <c r="M23" s="7"/>
    </row>
    <row r="24" ht="18" customHeight="1" spans="1:13">
      <c r="A24" s="6" t="s">
        <v>181</v>
      </c>
      <c r="B24" s="6" t="s">
        <v>581</v>
      </c>
      <c r="C24" s="6" t="s">
        <v>582</v>
      </c>
      <c r="D24" s="5" t="s">
        <v>181</v>
      </c>
      <c r="E24" s="7">
        <v>100</v>
      </c>
      <c r="F24" s="7"/>
      <c r="G24" s="7">
        <v>151406.03</v>
      </c>
      <c r="H24" s="7"/>
      <c r="I24" s="7"/>
      <c r="J24" s="7"/>
      <c r="K24" s="7">
        <v>151406</v>
      </c>
      <c r="L24" s="7"/>
      <c r="M24" s="7"/>
    </row>
    <row r="25" ht="18" customHeight="1" spans="1:13">
      <c r="A25" s="6" t="s">
        <v>181</v>
      </c>
      <c r="B25" s="6" t="s">
        <v>583</v>
      </c>
      <c r="C25" s="6" t="s">
        <v>584</v>
      </c>
      <c r="D25" s="5" t="s">
        <v>181</v>
      </c>
      <c r="E25" s="7">
        <v>100</v>
      </c>
      <c r="F25" s="7"/>
      <c r="G25" s="7">
        <v>4089.68</v>
      </c>
      <c r="H25" s="7"/>
      <c r="I25" s="7"/>
      <c r="J25" s="7"/>
      <c r="K25" s="7">
        <v>4090</v>
      </c>
      <c r="L25" s="7"/>
      <c r="M25" s="7"/>
    </row>
    <row r="26" ht="18" customHeight="1" spans="1:13">
      <c r="A26" s="6" t="s">
        <v>181</v>
      </c>
      <c r="B26" s="6" t="s">
        <v>585</v>
      </c>
      <c r="C26" s="6" t="s">
        <v>586</v>
      </c>
      <c r="D26" s="5" t="s">
        <v>181</v>
      </c>
      <c r="E26" s="7">
        <v>100</v>
      </c>
      <c r="F26" s="7"/>
      <c r="G26" s="7">
        <v>62534.6</v>
      </c>
      <c r="H26" s="7"/>
      <c r="I26" s="7"/>
      <c r="J26" s="7"/>
      <c r="K26" s="7">
        <v>62535</v>
      </c>
      <c r="L26" s="7"/>
      <c r="M26" s="7"/>
    </row>
    <row r="27" ht="18" customHeight="1" spans="1:13">
      <c r="A27" s="6" t="s">
        <v>181</v>
      </c>
      <c r="B27" s="6" t="s">
        <v>593</v>
      </c>
      <c r="C27" s="6" t="s">
        <v>258</v>
      </c>
      <c r="D27" s="5" t="s">
        <v>181</v>
      </c>
      <c r="E27" s="7">
        <v>100</v>
      </c>
      <c r="F27" s="7"/>
      <c r="G27" s="7">
        <v>36165.4</v>
      </c>
      <c r="H27" s="7"/>
      <c r="I27" s="7"/>
      <c r="J27" s="7"/>
      <c r="K27" s="7">
        <v>36165</v>
      </c>
      <c r="L27" s="7"/>
      <c r="M27" s="7"/>
    </row>
    <row r="28" ht="18" customHeight="1" spans="1:13">
      <c r="A28" s="6" t="s">
        <v>181</v>
      </c>
      <c r="B28" s="6" t="s">
        <v>594</v>
      </c>
      <c r="C28" s="6" t="s">
        <v>595</v>
      </c>
      <c r="D28" s="5" t="s">
        <v>181</v>
      </c>
      <c r="E28" s="7">
        <v>3.57</v>
      </c>
      <c r="F28" s="7"/>
      <c r="G28" s="7">
        <v>151406.03</v>
      </c>
      <c r="H28" s="7"/>
      <c r="I28" s="7"/>
      <c r="J28" s="7"/>
      <c r="K28" s="7">
        <v>5405</v>
      </c>
      <c r="L28" s="7"/>
      <c r="M28" s="7"/>
    </row>
    <row r="29" ht="18" customHeight="1" spans="1:13">
      <c r="A29" s="6" t="s">
        <v>181</v>
      </c>
      <c r="B29" s="6" t="s">
        <v>598</v>
      </c>
      <c r="C29" s="6" t="s">
        <v>599</v>
      </c>
      <c r="D29" s="5" t="s">
        <v>181</v>
      </c>
      <c r="E29" s="7">
        <v>3.82</v>
      </c>
      <c r="F29" s="7"/>
      <c r="G29" s="7">
        <v>151406.03</v>
      </c>
      <c r="H29" s="7"/>
      <c r="I29" s="7"/>
      <c r="J29" s="7"/>
      <c r="K29" s="7">
        <v>5784</v>
      </c>
      <c r="L29" s="7"/>
      <c r="M29" s="7"/>
    </row>
    <row r="30" ht="18" customHeight="1" spans="1:13">
      <c r="A30" s="6" t="s">
        <v>181</v>
      </c>
      <c r="B30" s="6" t="s">
        <v>602</v>
      </c>
      <c r="C30" s="6" t="s">
        <v>76</v>
      </c>
      <c r="D30" s="5" t="s">
        <v>181</v>
      </c>
      <c r="E30" s="7">
        <v>6.35</v>
      </c>
      <c r="F30" s="7"/>
      <c r="G30" s="7">
        <v>218030.32</v>
      </c>
      <c r="H30" s="7"/>
      <c r="I30" s="7"/>
      <c r="J30" s="7"/>
      <c r="K30" s="7">
        <v>13845</v>
      </c>
      <c r="L30" s="7"/>
      <c r="M30" s="7"/>
    </row>
    <row r="31" ht="18" customHeight="1" spans="1:13">
      <c r="A31" s="6" t="s">
        <v>181</v>
      </c>
      <c r="B31" s="6" t="s">
        <v>603</v>
      </c>
      <c r="C31" s="6" t="s">
        <v>604</v>
      </c>
      <c r="D31" s="5" t="s">
        <v>181</v>
      </c>
      <c r="E31" s="7">
        <v>2.24</v>
      </c>
      <c r="F31" s="7"/>
      <c r="G31" s="7">
        <v>151406.03</v>
      </c>
      <c r="H31" s="7"/>
      <c r="I31" s="7"/>
      <c r="J31" s="7"/>
      <c r="K31" s="7">
        <v>3391</v>
      </c>
      <c r="L31" s="7"/>
      <c r="M31" s="7"/>
    </row>
    <row r="32" ht="18" customHeight="1" spans="1:13">
      <c r="A32" s="6" t="s">
        <v>181</v>
      </c>
      <c r="B32" s="6" t="s">
        <v>605</v>
      </c>
      <c r="C32" s="6" t="s">
        <v>213</v>
      </c>
      <c r="D32" s="5" t="s">
        <v>181</v>
      </c>
      <c r="E32" s="7">
        <v>3.55</v>
      </c>
      <c r="F32" s="7"/>
      <c r="G32" s="7">
        <v>218030.32</v>
      </c>
      <c r="H32" s="7"/>
      <c r="I32" s="7"/>
      <c r="J32" s="7"/>
      <c r="K32" s="7">
        <v>7740</v>
      </c>
      <c r="L32" s="7"/>
      <c r="M32" s="7"/>
    </row>
    <row r="33" ht="18" customHeight="1" spans="1:13">
      <c r="A33" s="6" t="s">
        <v>181</v>
      </c>
      <c r="B33" s="6" t="s">
        <v>606</v>
      </c>
      <c r="C33" s="6" t="s">
        <v>173</v>
      </c>
      <c r="D33" s="5" t="s">
        <v>181</v>
      </c>
      <c r="E33" s="7">
        <v>100</v>
      </c>
      <c r="F33" s="7"/>
      <c r="G33" s="7">
        <v>254195.72</v>
      </c>
      <c r="H33" s="7"/>
      <c r="I33" s="7"/>
      <c r="J33" s="7"/>
      <c r="K33" s="7">
        <v>254196</v>
      </c>
      <c r="L33" s="7"/>
      <c r="M33" s="7"/>
    </row>
    <row r="34" ht="18" customHeight="1" spans="1:13">
      <c r="A34" s="6" t="s">
        <v>181</v>
      </c>
      <c r="B34" s="6" t="s">
        <v>181</v>
      </c>
      <c r="C34" s="6" t="s">
        <v>940</v>
      </c>
      <c r="D34" s="5" t="s">
        <v>660</v>
      </c>
      <c r="E34" s="7">
        <v>35</v>
      </c>
      <c r="F34" s="7"/>
      <c r="G34" s="7">
        <v>254195.72</v>
      </c>
      <c r="H34" s="7"/>
      <c r="I34" s="7"/>
      <c r="J34" s="7"/>
      <c r="K34" s="7">
        <v>88969</v>
      </c>
      <c r="L34" s="7"/>
      <c r="M34" s="7"/>
    </row>
  </sheetData>
  <mergeCells count="12">
    <mergeCell ref="A1:M1"/>
    <mergeCell ref="F3:I3"/>
    <mergeCell ref="J3:M3"/>
    <mergeCell ref="G4:I4"/>
    <mergeCell ref="K4:M4"/>
    <mergeCell ref="A3:A5"/>
    <mergeCell ref="B3:B5"/>
    <mergeCell ref="C3:C5"/>
    <mergeCell ref="D3:D5"/>
    <mergeCell ref="E3:E5"/>
    <mergeCell ref="F4:F5"/>
    <mergeCell ref="J4:J5"/>
  </mergeCells>
  <pageMargins left="0.499305555555556" right="0.499305555555556" top="0.499305555555556" bottom="0.499305555555556" header="0.343055555555556" footer="0.343055555555556"/>
  <pageSetup paperSize="9" fitToHeight="0" orientation="landscape"/>
  <headerFooter>
    <oddHeader>&amp;L&amp;"宋体,常规"&amp;11&amp;C&amp;"宋体,常规"&amp;11&amp;R&amp;"宋体,常规"&amp;11</oddHeader>
    <oddFooter>&amp;L&amp;"宋体,常规"&amp;11 220kV沙赛线64#-80#改迁工程&amp;C&amp;"宋体,常规"&amp;11第  &amp;P  页&amp;R&amp;"宋体,常规"&amp;11九江电力勘察设计院有限公司</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pageSetUpPr fitToPage="1"/>
  </sheetPr>
  <dimension ref="A1:M34"/>
  <sheetViews>
    <sheetView workbookViewId="0">
      <selection activeCell="A1" sqref="A1:M1"/>
    </sheetView>
  </sheetViews>
  <sheetFormatPr defaultColWidth="7.875" defaultRowHeight="15"/>
  <cols>
    <col min="1" max="1" width="7.25833333333333" style="1" customWidth="1"/>
    <col min="2" max="2" width="9" style="1" customWidth="1"/>
    <col min="3" max="3" width="21.5" style="1" customWidth="1"/>
    <col min="4" max="12" width="9" style="1" customWidth="1"/>
    <col min="13" max="13" width="9.5" style="1" customWidth="1"/>
    <col min="14" max="16384" width="7.875" style="1"/>
  </cols>
  <sheetData>
    <row r="1" ht="36" customHeight="1" spans="1:13">
      <c r="A1" s="2" t="s">
        <v>922</v>
      </c>
      <c r="B1" s="2"/>
      <c r="C1" s="2"/>
      <c r="D1" s="2"/>
      <c r="E1" s="2"/>
      <c r="F1" s="2"/>
      <c r="G1" s="2"/>
      <c r="H1" s="2"/>
      <c r="I1" s="2"/>
      <c r="J1" s="2"/>
      <c r="K1" s="2"/>
      <c r="L1" s="2"/>
      <c r="M1" s="2"/>
    </row>
    <row r="2" ht="12" customHeight="1" spans="1:13">
      <c r="A2" s="3" t="s">
        <v>635</v>
      </c>
      <c r="M2" s="4" t="s">
        <v>532</v>
      </c>
    </row>
    <row r="3" ht="18" customHeight="1" spans="1:13">
      <c r="A3" s="5" t="s">
        <v>8</v>
      </c>
      <c r="B3" s="5" t="s">
        <v>636</v>
      </c>
      <c r="C3" s="5" t="s">
        <v>637</v>
      </c>
      <c r="D3" s="5" t="s">
        <v>168</v>
      </c>
      <c r="E3" s="5" t="s">
        <v>169</v>
      </c>
      <c r="F3" s="5" t="s">
        <v>638</v>
      </c>
      <c r="G3" s="5"/>
      <c r="H3" s="5"/>
      <c r="I3" s="5"/>
      <c r="J3" s="5" t="s">
        <v>232</v>
      </c>
      <c r="K3" s="5"/>
      <c r="L3" s="5"/>
      <c r="M3" s="5"/>
    </row>
    <row r="4" ht="18" customHeight="1" spans="1:13">
      <c r="A4" s="5"/>
      <c r="B4" s="5"/>
      <c r="C4" s="5"/>
      <c r="D4" s="5"/>
      <c r="E4" s="5"/>
      <c r="F4" s="5" t="s">
        <v>923</v>
      </c>
      <c r="G4" s="5" t="s">
        <v>640</v>
      </c>
      <c r="H4" s="5"/>
      <c r="I4" s="5"/>
      <c r="J4" s="5" t="s">
        <v>923</v>
      </c>
      <c r="K4" s="5" t="s">
        <v>640</v>
      </c>
      <c r="L4" s="5"/>
      <c r="M4" s="5"/>
    </row>
    <row r="5" ht="30.6" customHeight="1" spans="1:13">
      <c r="A5" s="5"/>
      <c r="B5" s="5"/>
      <c r="C5" s="5"/>
      <c r="D5" s="5"/>
      <c r="E5" s="5"/>
      <c r="F5" s="5"/>
      <c r="G5" s="5" t="s">
        <v>173</v>
      </c>
      <c r="H5" s="5" t="s">
        <v>641</v>
      </c>
      <c r="I5" s="5" t="s">
        <v>642</v>
      </c>
      <c r="J5" s="5"/>
      <c r="K5" s="5" t="s">
        <v>173</v>
      </c>
      <c r="L5" s="5" t="s">
        <v>641</v>
      </c>
      <c r="M5" s="5" t="s">
        <v>642</v>
      </c>
    </row>
    <row r="6" ht="18" customHeight="1" spans="1:13">
      <c r="A6" s="6" t="s">
        <v>593</v>
      </c>
      <c r="B6" s="6" t="s">
        <v>181</v>
      </c>
      <c r="C6" s="6" t="s">
        <v>924</v>
      </c>
      <c r="D6" s="5" t="s">
        <v>181</v>
      </c>
      <c r="E6" s="7"/>
      <c r="F6" s="7"/>
      <c r="G6" s="7"/>
      <c r="H6" s="7"/>
      <c r="I6" s="7"/>
      <c r="J6" s="7"/>
      <c r="K6" s="7">
        <v>88969</v>
      </c>
      <c r="L6" s="7"/>
      <c r="M6" s="7"/>
    </row>
    <row r="7" ht="18" customHeight="1" spans="1:13">
      <c r="A7" s="6" t="s">
        <v>598</v>
      </c>
      <c r="B7" s="6" t="s">
        <v>181</v>
      </c>
      <c r="C7" s="6" t="s">
        <v>925</v>
      </c>
      <c r="D7" s="5" t="s">
        <v>181</v>
      </c>
      <c r="E7" s="7"/>
      <c r="F7" s="7"/>
      <c r="G7" s="7"/>
      <c r="H7" s="7"/>
      <c r="I7" s="7"/>
      <c r="J7" s="7"/>
      <c r="K7" s="7">
        <v>88969</v>
      </c>
      <c r="L7" s="7"/>
      <c r="M7" s="7"/>
    </row>
    <row r="8" ht="18" customHeight="1" spans="1:13">
      <c r="A8" s="6" t="s">
        <v>926</v>
      </c>
      <c r="B8" s="6" t="s">
        <v>181</v>
      </c>
      <c r="C8" s="6" t="s">
        <v>927</v>
      </c>
      <c r="D8" s="5" t="s">
        <v>660</v>
      </c>
      <c r="E8" s="7">
        <v>35</v>
      </c>
      <c r="F8" s="7"/>
      <c r="G8" s="7"/>
      <c r="H8" s="7"/>
      <c r="I8" s="7"/>
      <c r="J8" s="7"/>
      <c r="K8" s="7">
        <v>88969</v>
      </c>
      <c r="L8" s="7"/>
      <c r="M8" s="7"/>
    </row>
    <row r="9" ht="30.6" customHeight="1" spans="1:13">
      <c r="A9" s="6" t="s">
        <v>181</v>
      </c>
      <c r="B9" s="6" t="s">
        <v>928</v>
      </c>
      <c r="C9" s="6" t="s">
        <v>929</v>
      </c>
      <c r="D9" s="5" t="s">
        <v>360</v>
      </c>
      <c r="E9" s="7">
        <v>11</v>
      </c>
      <c r="F9" s="7"/>
      <c r="G9" s="7">
        <v>1280.3</v>
      </c>
      <c r="H9" s="7">
        <v>840.27</v>
      </c>
      <c r="I9" s="7">
        <v>382.02</v>
      </c>
      <c r="J9" s="7"/>
      <c r="K9" s="7">
        <v>14083</v>
      </c>
      <c r="L9" s="7">
        <v>9243</v>
      </c>
      <c r="M9" s="7">
        <v>4202</v>
      </c>
    </row>
    <row r="10" ht="44.1" customHeight="1" spans="1:13">
      <c r="A10" s="6" t="s">
        <v>181</v>
      </c>
      <c r="B10" s="6" t="s">
        <v>756</v>
      </c>
      <c r="C10" s="6" t="s">
        <v>757</v>
      </c>
      <c r="D10" s="5" t="s">
        <v>182</v>
      </c>
      <c r="E10" s="7">
        <v>38</v>
      </c>
      <c r="F10" s="7"/>
      <c r="G10" s="7">
        <v>571.02</v>
      </c>
      <c r="H10" s="7">
        <v>499.35</v>
      </c>
      <c r="I10" s="7">
        <v>63.73</v>
      </c>
      <c r="J10" s="7"/>
      <c r="K10" s="7">
        <v>21699</v>
      </c>
      <c r="L10" s="7">
        <v>18975</v>
      </c>
      <c r="M10" s="7">
        <v>2422</v>
      </c>
    </row>
    <row r="11" ht="30.6" customHeight="1" spans="1:13">
      <c r="A11" s="6" t="s">
        <v>181</v>
      </c>
      <c r="B11" s="6" t="s">
        <v>930</v>
      </c>
      <c r="C11" s="6" t="s">
        <v>931</v>
      </c>
      <c r="D11" s="5" t="s">
        <v>374</v>
      </c>
      <c r="E11" s="7">
        <v>3.872</v>
      </c>
      <c r="F11" s="7"/>
      <c r="G11" s="7">
        <v>13663.34</v>
      </c>
      <c r="H11" s="7">
        <v>5416.96</v>
      </c>
      <c r="I11" s="7">
        <v>7912.09</v>
      </c>
      <c r="J11" s="7"/>
      <c r="K11" s="7">
        <v>52904</v>
      </c>
      <c r="L11" s="7">
        <v>20974</v>
      </c>
      <c r="M11" s="7">
        <v>30636</v>
      </c>
    </row>
    <row r="12" ht="44.1" customHeight="1" spans="1:13">
      <c r="A12" s="6" t="s">
        <v>181</v>
      </c>
      <c r="B12" s="6" t="s">
        <v>932</v>
      </c>
      <c r="C12" s="6" t="s">
        <v>933</v>
      </c>
      <c r="D12" s="5" t="s">
        <v>462</v>
      </c>
      <c r="E12" s="7">
        <v>66</v>
      </c>
      <c r="F12" s="7"/>
      <c r="G12" s="7">
        <v>1882.77</v>
      </c>
      <c r="H12" s="7">
        <v>1523.73</v>
      </c>
      <c r="I12" s="7">
        <v>331.33</v>
      </c>
      <c r="J12" s="7"/>
      <c r="K12" s="7">
        <v>124263</v>
      </c>
      <c r="L12" s="7">
        <v>100566</v>
      </c>
      <c r="M12" s="7">
        <v>21868</v>
      </c>
    </row>
    <row r="13" ht="18" customHeight="1" spans="1:13">
      <c r="A13" s="6" t="s">
        <v>181</v>
      </c>
      <c r="B13" s="6" t="s">
        <v>734</v>
      </c>
      <c r="C13" s="6" t="s">
        <v>735</v>
      </c>
      <c r="D13" s="5" t="s">
        <v>647</v>
      </c>
      <c r="E13" s="7">
        <v>1.9</v>
      </c>
      <c r="F13" s="7"/>
      <c r="G13" s="7">
        <v>157.47</v>
      </c>
      <c r="H13" s="7">
        <v>146.52</v>
      </c>
      <c r="I13" s="7">
        <v>10.95</v>
      </c>
      <c r="J13" s="7"/>
      <c r="K13" s="7">
        <v>299</v>
      </c>
      <c r="L13" s="7">
        <v>278</v>
      </c>
      <c r="M13" s="7">
        <v>21</v>
      </c>
    </row>
    <row r="14" ht="30.6" customHeight="1" spans="1:13">
      <c r="A14" s="6" t="s">
        <v>181</v>
      </c>
      <c r="B14" s="6" t="s">
        <v>736</v>
      </c>
      <c r="C14" s="6" t="s">
        <v>737</v>
      </c>
      <c r="D14" s="5" t="s">
        <v>182</v>
      </c>
      <c r="E14" s="7">
        <v>38</v>
      </c>
      <c r="F14" s="7"/>
      <c r="G14" s="7">
        <v>49.91</v>
      </c>
      <c r="H14" s="7">
        <v>12.76</v>
      </c>
      <c r="I14" s="7">
        <v>36.56</v>
      </c>
      <c r="J14" s="7"/>
      <c r="K14" s="7">
        <v>1897</v>
      </c>
      <c r="L14" s="7">
        <v>485</v>
      </c>
      <c r="M14" s="7">
        <v>1389</v>
      </c>
    </row>
    <row r="15" ht="30.6" customHeight="1" spans="1:13">
      <c r="A15" s="6" t="s">
        <v>181</v>
      </c>
      <c r="B15" s="6" t="s">
        <v>738</v>
      </c>
      <c r="C15" s="6" t="s">
        <v>739</v>
      </c>
      <c r="D15" s="5" t="s">
        <v>647</v>
      </c>
      <c r="E15" s="7">
        <v>380</v>
      </c>
      <c r="F15" s="7"/>
      <c r="G15" s="7">
        <v>1.57</v>
      </c>
      <c r="H15" s="7">
        <v>0.55</v>
      </c>
      <c r="I15" s="7">
        <v>1.02</v>
      </c>
      <c r="J15" s="7"/>
      <c r="K15" s="7">
        <v>597</v>
      </c>
      <c r="L15" s="7">
        <v>209</v>
      </c>
      <c r="M15" s="7">
        <v>388</v>
      </c>
    </row>
    <row r="16" ht="30.6" customHeight="1" spans="1:13">
      <c r="A16" s="6" t="s">
        <v>181</v>
      </c>
      <c r="B16" s="6" t="s">
        <v>934</v>
      </c>
      <c r="C16" s="6" t="s">
        <v>935</v>
      </c>
      <c r="D16" s="5" t="s">
        <v>647</v>
      </c>
      <c r="E16" s="7">
        <v>1.314</v>
      </c>
      <c r="F16" s="7"/>
      <c r="G16" s="7">
        <v>221.6</v>
      </c>
      <c r="H16" s="7">
        <v>205.24</v>
      </c>
      <c r="I16" s="7">
        <v>16.36</v>
      </c>
      <c r="J16" s="7"/>
      <c r="K16" s="7">
        <v>291</v>
      </c>
      <c r="L16" s="7">
        <v>270</v>
      </c>
      <c r="M16" s="7">
        <v>21</v>
      </c>
    </row>
    <row r="17" ht="30.6" customHeight="1" spans="1:13">
      <c r="A17" s="6" t="s">
        <v>181</v>
      </c>
      <c r="B17" s="6" t="s">
        <v>936</v>
      </c>
      <c r="C17" s="6" t="s">
        <v>937</v>
      </c>
      <c r="D17" s="5" t="s">
        <v>647</v>
      </c>
      <c r="E17" s="7">
        <v>262.754</v>
      </c>
      <c r="F17" s="7"/>
      <c r="G17" s="7">
        <v>1.42</v>
      </c>
      <c r="H17" s="7">
        <v>0.37</v>
      </c>
      <c r="I17" s="7">
        <v>1.05</v>
      </c>
      <c r="J17" s="7"/>
      <c r="K17" s="7">
        <v>373</v>
      </c>
      <c r="L17" s="7">
        <v>97</v>
      </c>
      <c r="M17" s="7">
        <v>276</v>
      </c>
    </row>
    <row r="18" ht="30.6" customHeight="1" spans="1:13">
      <c r="A18" s="6" t="s">
        <v>181</v>
      </c>
      <c r="B18" s="6" t="s">
        <v>938</v>
      </c>
      <c r="C18" s="6" t="s">
        <v>939</v>
      </c>
      <c r="D18" s="5" t="s">
        <v>182</v>
      </c>
      <c r="E18" s="7">
        <v>26.275</v>
      </c>
      <c r="F18" s="7"/>
      <c r="G18" s="7">
        <v>61.82</v>
      </c>
      <c r="H18" s="7">
        <v>11.72</v>
      </c>
      <c r="I18" s="7">
        <v>49.94</v>
      </c>
      <c r="J18" s="7"/>
      <c r="K18" s="7">
        <v>1624</v>
      </c>
      <c r="L18" s="7">
        <v>308</v>
      </c>
      <c r="M18" s="7">
        <v>1312</v>
      </c>
    </row>
    <row r="19" ht="18" customHeight="1" spans="1:13">
      <c r="A19" s="6" t="s">
        <v>181</v>
      </c>
      <c r="B19" s="6" t="s">
        <v>181</v>
      </c>
      <c r="C19" s="6" t="s">
        <v>562</v>
      </c>
      <c r="D19" s="5" t="s">
        <v>181</v>
      </c>
      <c r="E19" s="7"/>
      <c r="F19" s="7"/>
      <c r="G19" s="7"/>
      <c r="H19" s="7"/>
      <c r="I19" s="7"/>
      <c r="J19" s="7"/>
      <c r="K19" s="7">
        <v>218030</v>
      </c>
      <c r="L19" s="7">
        <v>151406</v>
      </c>
      <c r="M19" s="7">
        <v>62535</v>
      </c>
    </row>
    <row r="20" ht="18" customHeight="1" spans="1:13">
      <c r="A20" s="6" t="s">
        <v>181</v>
      </c>
      <c r="B20" s="6" t="s">
        <v>181</v>
      </c>
      <c r="C20" s="6" t="s">
        <v>181</v>
      </c>
      <c r="D20" s="5" t="s">
        <v>181</v>
      </c>
      <c r="E20" s="7"/>
      <c r="F20" s="7"/>
      <c r="G20" s="7"/>
      <c r="H20" s="7"/>
      <c r="I20" s="7"/>
      <c r="J20" s="7"/>
      <c r="K20" s="7"/>
      <c r="L20" s="7"/>
      <c r="M20" s="7"/>
    </row>
    <row r="21" ht="18" customHeight="1" spans="1:13">
      <c r="A21" s="6" t="s">
        <v>181</v>
      </c>
      <c r="B21" s="6" t="s">
        <v>354</v>
      </c>
      <c r="C21" s="6" t="s">
        <v>210</v>
      </c>
      <c r="D21" s="5" t="s">
        <v>181</v>
      </c>
      <c r="E21" s="7">
        <v>100</v>
      </c>
      <c r="F21" s="7"/>
      <c r="G21" s="7">
        <v>254195.72</v>
      </c>
      <c r="H21" s="7"/>
      <c r="I21" s="7"/>
      <c r="J21" s="7"/>
      <c r="K21" s="7">
        <v>254196</v>
      </c>
      <c r="L21" s="7"/>
      <c r="M21" s="7"/>
    </row>
    <row r="22" ht="18" customHeight="1" spans="1:13">
      <c r="A22" s="6" t="s">
        <v>181</v>
      </c>
      <c r="B22" s="6" t="s">
        <v>577</v>
      </c>
      <c r="C22" s="6" t="s">
        <v>578</v>
      </c>
      <c r="D22" s="5" t="s">
        <v>181</v>
      </c>
      <c r="E22" s="7">
        <v>100</v>
      </c>
      <c r="F22" s="7"/>
      <c r="G22" s="7">
        <v>218030.32</v>
      </c>
      <c r="H22" s="7"/>
      <c r="I22" s="7"/>
      <c r="J22" s="7"/>
      <c r="K22" s="7">
        <v>218030</v>
      </c>
      <c r="L22" s="7"/>
      <c r="M22" s="7"/>
    </row>
    <row r="23" ht="18" customHeight="1" spans="1:13">
      <c r="A23" s="6" t="s">
        <v>181</v>
      </c>
      <c r="B23" s="6" t="s">
        <v>579</v>
      </c>
      <c r="C23" s="6" t="s">
        <v>580</v>
      </c>
      <c r="D23" s="5" t="s">
        <v>181</v>
      </c>
      <c r="E23" s="7">
        <v>100</v>
      </c>
      <c r="F23" s="7"/>
      <c r="G23" s="7">
        <v>218030.32</v>
      </c>
      <c r="H23" s="7"/>
      <c r="I23" s="7"/>
      <c r="J23" s="7"/>
      <c r="K23" s="7">
        <v>218030</v>
      </c>
      <c r="L23" s="7"/>
      <c r="M23" s="7"/>
    </row>
    <row r="24" ht="18" customHeight="1" spans="1:13">
      <c r="A24" s="6" t="s">
        <v>181</v>
      </c>
      <c r="B24" s="6" t="s">
        <v>581</v>
      </c>
      <c r="C24" s="6" t="s">
        <v>582</v>
      </c>
      <c r="D24" s="5" t="s">
        <v>181</v>
      </c>
      <c r="E24" s="7">
        <v>100</v>
      </c>
      <c r="F24" s="7"/>
      <c r="G24" s="7">
        <v>151406.03</v>
      </c>
      <c r="H24" s="7"/>
      <c r="I24" s="7"/>
      <c r="J24" s="7"/>
      <c r="K24" s="7">
        <v>151406</v>
      </c>
      <c r="L24" s="7"/>
      <c r="M24" s="7"/>
    </row>
    <row r="25" ht="18" customHeight="1" spans="1:13">
      <c r="A25" s="6" t="s">
        <v>181</v>
      </c>
      <c r="B25" s="6" t="s">
        <v>583</v>
      </c>
      <c r="C25" s="6" t="s">
        <v>584</v>
      </c>
      <c r="D25" s="5" t="s">
        <v>181</v>
      </c>
      <c r="E25" s="7">
        <v>100</v>
      </c>
      <c r="F25" s="7"/>
      <c r="G25" s="7">
        <v>4089.68</v>
      </c>
      <c r="H25" s="7"/>
      <c r="I25" s="7"/>
      <c r="J25" s="7"/>
      <c r="K25" s="7">
        <v>4090</v>
      </c>
      <c r="L25" s="7"/>
      <c r="M25" s="7"/>
    </row>
    <row r="26" ht="18" customHeight="1" spans="1:13">
      <c r="A26" s="6" t="s">
        <v>181</v>
      </c>
      <c r="B26" s="6" t="s">
        <v>585</v>
      </c>
      <c r="C26" s="6" t="s">
        <v>586</v>
      </c>
      <c r="D26" s="5" t="s">
        <v>181</v>
      </c>
      <c r="E26" s="7">
        <v>100</v>
      </c>
      <c r="F26" s="7"/>
      <c r="G26" s="7">
        <v>62534.6</v>
      </c>
      <c r="H26" s="7"/>
      <c r="I26" s="7"/>
      <c r="J26" s="7"/>
      <c r="K26" s="7">
        <v>62535</v>
      </c>
      <c r="L26" s="7"/>
      <c r="M26" s="7"/>
    </row>
    <row r="27" ht="18" customHeight="1" spans="1:13">
      <c r="A27" s="6" t="s">
        <v>181</v>
      </c>
      <c r="B27" s="6" t="s">
        <v>593</v>
      </c>
      <c r="C27" s="6" t="s">
        <v>258</v>
      </c>
      <c r="D27" s="5" t="s">
        <v>181</v>
      </c>
      <c r="E27" s="7">
        <v>100</v>
      </c>
      <c r="F27" s="7"/>
      <c r="G27" s="7">
        <v>36165.4</v>
      </c>
      <c r="H27" s="7"/>
      <c r="I27" s="7"/>
      <c r="J27" s="7"/>
      <c r="K27" s="7">
        <v>36165</v>
      </c>
      <c r="L27" s="7"/>
      <c r="M27" s="7"/>
    </row>
    <row r="28" ht="18" customHeight="1" spans="1:13">
      <c r="A28" s="6" t="s">
        <v>181</v>
      </c>
      <c r="B28" s="6" t="s">
        <v>594</v>
      </c>
      <c r="C28" s="6" t="s">
        <v>595</v>
      </c>
      <c r="D28" s="5" t="s">
        <v>181</v>
      </c>
      <c r="E28" s="7">
        <v>3.57</v>
      </c>
      <c r="F28" s="7"/>
      <c r="G28" s="7">
        <v>151406.03</v>
      </c>
      <c r="H28" s="7"/>
      <c r="I28" s="7"/>
      <c r="J28" s="7"/>
      <c r="K28" s="7">
        <v>5405</v>
      </c>
      <c r="L28" s="7"/>
      <c r="M28" s="7"/>
    </row>
    <row r="29" ht="18" customHeight="1" spans="1:13">
      <c r="A29" s="6" t="s">
        <v>181</v>
      </c>
      <c r="B29" s="6" t="s">
        <v>598</v>
      </c>
      <c r="C29" s="6" t="s">
        <v>599</v>
      </c>
      <c r="D29" s="5" t="s">
        <v>181</v>
      </c>
      <c r="E29" s="7">
        <v>3.82</v>
      </c>
      <c r="F29" s="7"/>
      <c r="G29" s="7">
        <v>151406.03</v>
      </c>
      <c r="H29" s="7"/>
      <c r="I29" s="7"/>
      <c r="J29" s="7"/>
      <c r="K29" s="7">
        <v>5784</v>
      </c>
      <c r="L29" s="7"/>
      <c r="M29" s="7"/>
    </row>
    <row r="30" ht="18" customHeight="1" spans="1:13">
      <c r="A30" s="6" t="s">
        <v>181</v>
      </c>
      <c r="B30" s="6" t="s">
        <v>602</v>
      </c>
      <c r="C30" s="6" t="s">
        <v>76</v>
      </c>
      <c r="D30" s="5" t="s">
        <v>181</v>
      </c>
      <c r="E30" s="7">
        <v>6.35</v>
      </c>
      <c r="F30" s="7"/>
      <c r="G30" s="7">
        <v>218030.32</v>
      </c>
      <c r="H30" s="7"/>
      <c r="I30" s="7"/>
      <c r="J30" s="7"/>
      <c r="K30" s="7">
        <v>13845</v>
      </c>
      <c r="L30" s="7"/>
      <c r="M30" s="7"/>
    </row>
    <row r="31" ht="18" customHeight="1" spans="1:13">
      <c r="A31" s="6" t="s">
        <v>181</v>
      </c>
      <c r="B31" s="6" t="s">
        <v>603</v>
      </c>
      <c r="C31" s="6" t="s">
        <v>604</v>
      </c>
      <c r="D31" s="5" t="s">
        <v>181</v>
      </c>
      <c r="E31" s="7">
        <v>2.24</v>
      </c>
      <c r="F31" s="7"/>
      <c r="G31" s="7">
        <v>151406.03</v>
      </c>
      <c r="H31" s="7"/>
      <c r="I31" s="7"/>
      <c r="J31" s="7"/>
      <c r="K31" s="7">
        <v>3391</v>
      </c>
      <c r="L31" s="7"/>
      <c r="M31" s="7"/>
    </row>
    <row r="32" ht="18" customHeight="1" spans="1:13">
      <c r="A32" s="6" t="s">
        <v>181</v>
      </c>
      <c r="B32" s="6" t="s">
        <v>605</v>
      </c>
      <c r="C32" s="6" t="s">
        <v>213</v>
      </c>
      <c r="D32" s="5" t="s">
        <v>181</v>
      </c>
      <c r="E32" s="7">
        <v>3.55</v>
      </c>
      <c r="F32" s="7"/>
      <c r="G32" s="7">
        <v>218030.32</v>
      </c>
      <c r="H32" s="7"/>
      <c r="I32" s="7"/>
      <c r="J32" s="7"/>
      <c r="K32" s="7">
        <v>7740</v>
      </c>
      <c r="L32" s="7"/>
      <c r="M32" s="7"/>
    </row>
    <row r="33" ht="18" customHeight="1" spans="1:13">
      <c r="A33" s="6" t="s">
        <v>181</v>
      </c>
      <c r="B33" s="6" t="s">
        <v>606</v>
      </c>
      <c r="C33" s="6" t="s">
        <v>173</v>
      </c>
      <c r="D33" s="5" t="s">
        <v>181</v>
      </c>
      <c r="E33" s="7">
        <v>100</v>
      </c>
      <c r="F33" s="7"/>
      <c r="G33" s="7">
        <v>254195.72</v>
      </c>
      <c r="H33" s="7"/>
      <c r="I33" s="7"/>
      <c r="J33" s="7"/>
      <c r="K33" s="7">
        <v>254196</v>
      </c>
      <c r="L33" s="7"/>
      <c r="M33" s="7"/>
    </row>
    <row r="34" ht="18" customHeight="1" spans="1:13">
      <c r="A34" s="6" t="s">
        <v>181</v>
      </c>
      <c r="B34" s="6" t="s">
        <v>181</v>
      </c>
      <c r="C34" s="6" t="s">
        <v>940</v>
      </c>
      <c r="D34" s="5" t="s">
        <v>660</v>
      </c>
      <c r="E34" s="7">
        <v>35</v>
      </c>
      <c r="F34" s="7"/>
      <c r="G34" s="7">
        <v>254195.72</v>
      </c>
      <c r="H34" s="7"/>
      <c r="I34" s="7"/>
      <c r="J34" s="7"/>
      <c r="K34" s="7">
        <v>88969</v>
      </c>
      <c r="L34" s="7"/>
      <c r="M34" s="7"/>
    </row>
  </sheetData>
  <mergeCells count="12">
    <mergeCell ref="A1:M1"/>
    <mergeCell ref="F3:I3"/>
    <mergeCell ref="J3:M3"/>
    <mergeCell ref="G4:I4"/>
    <mergeCell ref="K4:M4"/>
    <mergeCell ref="A3:A5"/>
    <mergeCell ref="B3:B5"/>
    <mergeCell ref="C3:C5"/>
    <mergeCell ref="D3:D5"/>
    <mergeCell ref="E3:E5"/>
    <mergeCell ref="F4:F5"/>
    <mergeCell ref="J4:J5"/>
  </mergeCells>
  <pageMargins left="0.499305555555556" right="0.499305555555556" top="0.499305555555556" bottom="0.499305555555556" header="0.343055555555556" footer="0.343055555555556"/>
  <pageSetup paperSize="9" fitToHeight="0" orientation="landscape"/>
  <headerFooter>
    <oddHeader>&amp;L&amp;"宋体,常规"&amp;11&amp;C&amp;"宋体,常规"&amp;11&amp;R&amp;"宋体,常规"&amp;11</oddHeader>
    <oddFooter>&amp;L&amp;"宋体,常规"&amp;11 220kV沙赛线64#-80#改迁工程&amp;C&amp;"宋体,常规"&amp;11第  &amp;P  页&amp;R&amp;"宋体,常规"&amp;11九江电力勘察设计院有限公司</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22</vt:i4>
      </vt:variant>
    </vt:vector>
  </HeadingPairs>
  <TitlesOfParts>
    <vt:vector size="22" baseType="lpstr">
      <vt:lpstr>计划单</vt:lpstr>
      <vt:lpstr>毛利率计算表</vt:lpstr>
      <vt:lpstr>物资表-设备</vt:lpstr>
      <vt:lpstr>物资表-装材</vt:lpstr>
      <vt:lpstr>物资表-土建</vt:lpstr>
      <vt:lpstr>依据1号文计算分包费用</vt:lpstr>
      <vt:lpstr>基础分包测算成本对比 </vt:lpstr>
      <vt:lpstr>基础混凝土统计表</vt:lpstr>
      <vt:lpstr>组塔分包测算成本对比</vt:lpstr>
      <vt:lpstr>架线分包测算成本对比 </vt:lpstr>
      <vt:lpstr>2.机械使用费用暂列</vt:lpstr>
      <vt:lpstr>3.跨越架费用明细</vt:lpstr>
      <vt:lpstr>4.其他费用明细表</vt:lpstr>
      <vt:lpstr>5.其他框架费用明细</vt:lpstr>
      <vt:lpstr>6.跨越咨询费</vt:lpstr>
      <vt:lpstr>工程检测费</vt:lpstr>
      <vt:lpstr>拆除费</vt:lpstr>
      <vt:lpstr>架空输电线路工程乙供主材价差汇总表</vt:lpstr>
      <vt:lpstr>架空输电线路安装工程汇总概算表</vt:lpstr>
      <vt:lpstr>架空输电线路单位工程预算表</vt:lpstr>
      <vt:lpstr>架空输电线路单位工程预算表（余物清理表三） (2)</vt:lpstr>
      <vt:lpstr>架空输电线路单位工程预算表（余物清理表三）</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2023-08-14T01:58:00Z</dcterms:created>
  <dcterms:modified xsi:type="dcterms:W3CDTF">2026-01-10T02:07:53Z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KSOReadingLayout">
    <vt:bool>true</vt:bool>
  </property>
  <property fmtid="{D5CDD505-2E9C-101B-9397-08002B2CF9AE}" pid="4" name="ICV">
    <vt:lpwstr>FFE15315133947FFBDCF455CCE7BB6CC_13</vt:lpwstr>
  </property>
  <property fmtid="{D5CDD505-2E9C-101B-9397-08002B2CF9AE}" pid="5" name="CalculationRule">
    <vt:i4>0</vt:i4>
  </property>
</Properties>
</file>